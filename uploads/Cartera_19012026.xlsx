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25"/>
  <workbookPr/>
  <mc:AlternateContent xmlns:mc="http://schemas.openxmlformats.org/markup-compatibility/2006">
    <mc:Choice Requires="x15">
      <x15ac:absPath xmlns:x15ac="http://schemas.microsoft.com/office/spreadsheetml/2010/11/ac" url="/Users/juanlemoine/Desktop/Manejo de Correos Financiera/"/>
    </mc:Choice>
  </mc:AlternateContent>
  <xr:revisionPtr revIDLastSave="0" documentId="13_ncr:1_{5FF17986-2C6C-EF43-B983-09965C5DFAB1}" xr6:coauthVersionLast="47" xr6:coauthVersionMax="47" xr10:uidLastSave="{00000000-0000-0000-0000-000000000000}"/>
  <bookViews>
    <workbookView xWindow="0" yWindow="500" windowWidth="21840" windowHeight="13020" xr2:uid="{00000000-000D-0000-FFFF-FFFF00000000}"/>
  </bookViews>
  <sheets>
    <sheet name="DATOS160433" sheetId="1" r:id="rId1"/>
  </sheets>
  <definedNames>
    <definedName name="_xlnm._FilterDatabase" localSheetId="0" hidden="1">DATOS160433!$A$7:$AA$152</definedName>
    <definedName name="_xlnm.Print_Area" localSheetId="0">DATOS160433!$A$1:$Y$152</definedName>
    <definedName name="_xlnm.Print_Titles" localSheetId="0">DATOS160433!$A:$Y,DATOS160433!$1:$7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9" i="1" l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8" i="1"/>
</calcChain>
</file>

<file path=xl/sharedStrings.xml><?xml version="1.0" encoding="utf-8"?>
<sst xmlns="http://schemas.openxmlformats.org/spreadsheetml/2006/main" count="2361" uniqueCount="633">
  <si>
    <t xml:space="preserve">NIT                                                                           </t>
  </si>
  <si>
    <t>DIG.VER.</t>
  </si>
  <si>
    <t xml:space="preserve">COBRADOR  </t>
  </si>
  <si>
    <t xml:space="preserve">                                                  </t>
  </si>
  <si>
    <t xml:space="preserve">CENTRO DE COSTO           </t>
  </si>
  <si>
    <t xml:space="preserve">SUBCENTRO DE COSTO       </t>
  </si>
  <si>
    <t xml:space="preserve">TERCERO      </t>
  </si>
  <si>
    <t>SUCURS</t>
  </si>
  <si>
    <t xml:space="preserve">NOMBRE                                                      </t>
  </si>
  <si>
    <t xml:space="preserve">CUENTA                                                       </t>
  </si>
  <si>
    <t xml:space="preserve">CTA       </t>
  </si>
  <si>
    <t xml:space="preserve">DESCRIPCION                                                                                                                                                                     </t>
  </si>
  <si>
    <t xml:space="preserve">SALDO            </t>
  </si>
  <si>
    <t xml:space="preserve">VALOR VENCIDO    </t>
  </si>
  <si>
    <t xml:space="preserve">TELEFONO-1  </t>
  </si>
  <si>
    <t xml:space="preserve">TELEFONO-2  </t>
  </si>
  <si>
    <t xml:space="preserve">CIUDAD                        </t>
  </si>
  <si>
    <t xml:space="preserve">COMPROBANTE          </t>
  </si>
  <si>
    <t xml:space="preserve">FECHA     </t>
  </si>
  <si>
    <t xml:space="preserve">FEC-VENCE </t>
  </si>
  <si>
    <t xml:space="preserve"> &lt;== 360-        </t>
  </si>
  <si>
    <t xml:space="preserve">DE 359- A  91-   </t>
  </si>
  <si>
    <t xml:space="preserve">DE  90- A  60-   </t>
  </si>
  <si>
    <t xml:space="preserve">DE  59- A  30-   </t>
  </si>
  <si>
    <t xml:space="preserve"> 29- ==&gt;         </t>
  </si>
  <si>
    <t xml:space="preserve">    444444410     AGROINDUSTRIAL LAREDO S.A.A                                 </t>
  </si>
  <si>
    <t xml:space="preserve">0050      </t>
  </si>
  <si>
    <t xml:space="preserve">ROCHA ARIAS CLARA JEANET                          </t>
  </si>
  <si>
    <t>3871  Laredo-Lealtad Clien</t>
  </si>
  <si>
    <t>001  Laredo-LealtadClient</t>
  </si>
  <si>
    <t xml:space="preserve">AGROINDUSTRIAL LAREDO S.A.A                                 </t>
  </si>
  <si>
    <t xml:space="preserve">13051002   CLIENTES DEL EXTERIOR                             </t>
  </si>
  <si>
    <t xml:space="preserve">13051002  </t>
  </si>
  <si>
    <t xml:space="preserve">CLIENTES DEL EXTERIOR                                                                                                                                                           </t>
  </si>
  <si>
    <t xml:space="preserve">  5144483200</t>
  </si>
  <si>
    <t xml:space="preserve">  5144445028</t>
  </si>
  <si>
    <t xml:space="preserve">TRUJILLO                      </t>
  </si>
  <si>
    <t>F-004-00000000102-001</t>
  </si>
  <si>
    <t xml:space="preserve">    860002184     AXA COLPATRIA SEGUROS  S.A.                                 </t>
  </si>
  <si>
    <t>3874  Axa Colpatria-Satisf</t>
  </si>
  <si>
    <t>001  AxaColpatria-SatInte</t>
  </si>
  <si>
    <t xml:space="preserve">AXA COLPATRIA SEGUROS  S.A.                                 </t>
  </si>
  <si>
    <t xml:space="preserve">1305050106 SECTOR FINANCIERO                                 </t>
  </si>
  <si>
    <t>1305050106</t>
  </si>
  <si>
    <t xml:space="preserve">SECTOR FINANCIERO                                                                                                                                                               </t>
  </si>
  <si>
    <t xml:space="preserve">     4235757</t>
  </si>
  <si>
    <t xml:space="preserve">            </t>
  </si>
  <si>
    <t xml:space="preserve">BOGOTA                        </t>
  </si>
  <si>
    <t>F-003-00000029583-001</t>
  </si>
  <si>
    <t xml:space="preserve">    900548102     AZTECA COMUNICACIONES COLOMBIA S A S                        </t>
  </si>
  <si>
    <t>3754  Azteca - Calidad Per</t>
  </si>
  <si>
    <t>001  Azteca -Calidad Perc</t>
  </si>
  <si>
    <t xml:space="preserve">AZTECA COMUNICACIONES COLOMBIA S A S                        </t>
  </si>
  <si>
    <t xml:space="preserve">1305050218 OTROS                                             </t>
  </si>
  <si>
    <t>1305050218</t>
  </si>
  <si>
    <t xml:space="preserve">OTROS                                                                                                                                                                           </t>
  </si>
  <si>
    <t xml:space="preserve">     4894555</t>
  </si>
  <si>
    <t xml:space="preserve">     4894556</t>
  </si>
  <si>
    <t>F-003-00000028848-001</t>
  </si>
  <si>
    <t>3872  Azteca-Lealtad Clien</t>
  </si>
  <si>
    <t>001  Azteca-LealtadClient</t>
  </si>
  <si>
    <t xml:space="preserve">                 </t>
  </si>
  <si>
    <t xml:space="preserve">                              </t>
  </si>
  <si>
    <t>F-003-00000029570-001</t>
  </si>
  <si>
    <t xml:space="preserve">     79517474     BONET FERREIRA FRANCISCO                                    </t>
  </si>
  <si>
    <t xml:space="preserve">0960  GASTOS LA SOÑADA    </t>
  </si>
  <si>
    <t xml:space="preserve">001  La Soñada           </t>
  </si>
  <si>
    <t xml:space="preserve">BONET FERREIRA FRANCISCO                                    </t>
  </si>
  <si>
    <t xml:space="preserve">  3102661177</t>
  </si>
  <si>
    <t>F-003-00000029453-001</t>
  </si>
  <si>
    <t>F-003-00000029454-001</t>
  </si>
  <si>
    <t>F-003-00000029455-001</t>
  </si>
  <si>
    <t>L-020-00000003635-002</t>
  </si>
  <si>
    <t xml:space="preserve">    901559591     BRUTAL FM SAS                                               </t>
  </si>
  <si>
    <t xml:space="preserve">1361  UCEP - ECAR 2023    </t>
  </si>
  <si>
    <t>003  UCEP - ECAR 2023 - M</t>
  </si>
  <si>
    <t xml:space="preserve">BRUTAL FM SAS                                               </t>
  </si>
  <si>
    <t xml:space="preserve">1305050210 SECTOR MEDIOS DE COMUNICACION                     </t>
  </si>
  <si>
    <t>1305050210</t>
  </si>
  <si>
    <t xml:space="preserve">SECTOR MEDIOS DE COMUNICACION                                                                                                                                                   </t>
  </si>
  <si>
    <t xml:space="preserve">  3104130069</t>
  </si>
  <si>
    <t xml:space="preserve">MEDELLÍN                      </t>
  </si>
  <si>
    <t>F-003-00000026618-001</t>
  </si>
  <si>
    <t>004  UCEP - ECAR 2023 - A</t>
  </si>
  <si>
    <t>F-003-00000026764-001</t>
  </si>
  <si>
    <t>005  UCEP - ECAR 2023 - M</t>
  </si>
  <si>
    <t>F-003-00000026841-001</t>
  </si>
  <si>
    <t>006  UCEP - ECAR 2023 - J</t>
  </si>
  <si>
    <t>F-003-00000026950-001</t>
  </si>
  <si>
    <t xml:space="preserve">    860007336   1 CAJA COLOMBIANA DE SUBSIDIO FAMILIAR COLSUBSIDIO            </t>
  </si>
  <si>
    <t>4225  Colsubsidio-Mapeo de</t>
  </si>
  <si>
    <t>001  Colsubsidio-MapeodeA</t>
  </si>
  <si>
    <t xml:space="preserve">CAJA COLOMBIANA DE SUBSIDIO FAMILIAR COLSUBSIDIO            </t>
  </si>
  <si>
    <t xml:space="preserve">1305050203 SECTOR COMERCIO                                   </t>
  </si>
  <si>
    <t>1305050203</t>
  </si>
  <si>
    <t xml:space="preserve">SECTOR COMERCIO                                                                                                                                                                 </t>
  </si>
  <si>
    <t xml:space="preserve">     7420100</t>
  </si>
  <si>
    <t>F-003-00000029578-001</t>
  </si>
  <si>
    <t xml:space="preserve">    860066942   1 CAJA DE COMPENSACION FAMILIAR COMPENSAR                     </t>
  </si>
  <si>
    <t xml:space="preserve">0000      </t>
  </si>
  <si>
    <t>3824  Compensar - Intelige</t>
  </si>
  <si>
    <t>001  Compensar-Inteligenc</t>
  </si>
  <si>
    <t xml:space="preserve">CAJA DE COMPENSACION FAMILIAR COMPENSAR                     </t>
  </si>
  <si>
    <t xml:space="preserve">1305050213 SECTOR SALUD                                      </t>
  </si>
  <si>
    <t>1305050213</t>
  </si>
  <si>
    <t xml:space="preserve">SECTOR SALUD                                                                                                                                                                    </t>
  </si>
  <si>
    <t xml:space="preserve">     4280666</t>
  </si>
  <si>
    <t xml:space="preserve">     4285088</t>
  </si>
  <si>
    <t>L-020-00000003696-001</t>
  </si>
  <si>
    <t xml:space="preserve">    901535489     CAMBIO COMUNICACIONES COLOMBIA SAS                          </t>
  </si>
  <si>
    <t>8919  OPP-RevCambio-Presid</t>
  </si>
  <si>
    <t>001  OPP-RevCambio-Presid</t>
  </si>
  <si>
    <t xml:space="preserve">CAMBIO COMUNICACIONES COLOMBIA SAS                          </t>
  </si>
  <si>
    <t xml:space="preserve">1305050212 SECTOR PUBLICIDAD                                 </t>
  </si>
  <si>
    <t>1305050212</t>
  </si>
  <si>
    <t xml:space="preserve">SECTOR PUBLICIDAD                                                                                                                                                               </t>
  </si>
  <si>
    <t xml:space="preserve">  3204836442</t>
  </si>
  <si>
    <t xml:space="preserve">BOGOTA D.C.                   </t>
  </si>
  <si>
    <t>F-003-00000029584-001</t>
  </si>
  <si>
    <t xml:space="preserve">    900518245     CARAT COLOMBIA S.A.S                                        </t>
  </si>
  <si>
    <t>1449  UCEP - ECAR 2024 - 2</t>
  </si>
  <si>
    <t xml:space="preserve">014  UCEP-ECAR2024-2025- </t>
  </si>
  <si>
    <t xml:space="preserve">CARAT COLOMBIA S.A.S                                        </t>
  </si>
  <si>
    <t xml:space="preserve">     7454523</t>
  </si>
  <si>
    <t xml:space="preserve">        1036</t>
  </si>
  <si>
    <t>F-003-00000029594-001</t>
  </si>
  <si>
    <t xml:space="preserve">    901078978     CASAS DHAL SAS                                              </t>
  </si>
  <si>
    <t>9151  Dhal - Visualizacion</t>
  </si>
  <si>
    <t>001  Dhal-VisualizacCasaL</t>
  </si>
  <si>
    <t xml:space="preserve">CASAS DHAL SAS                                              </t>
  </si>
  <si>
    <t xml:space="preserve">  6017702155</t>
  </si>
  <si>
    <t xml:space="preserve">  3107549150</t>
  </si>
  <si>
    <t>F-003-00000029566-001</t>
  </si>
  <si>
    <t xml:space="preserve">    900531210     CENIT TRANSPORTE Y LOGISTICA DE HIDROCARBUROS S.A.S.        </t>
  </si>
  <si>
    <t>3870  Cenit-Satisfacción y</t>
  </si>
  <si>
    <t>001  Cenit-SatisfaLealCte</t>
  </si>
  <si>
    <t xml:space="preserve">CENIT TRANSPORTE Y LOGISTICA DE HIDROCARBUROS S.A.S.        </t>
  </si>
  <si>
    <t xml:space="preserve">1305051111 SECTOR MINAS Y ENERGIA                            </t>
  </si>
  <si>
    <t>1305051111</t>
  </si>
  <si>
    <t xml:space="preserve">SECTOR MINAS Y ENERGIA                                                                                                                                                          </t>
  </si>
  <si>
    <t xml:space="preserve">     3198800</t>
  </si>
  <si>
    <t>F-003-00000029571-001</t>
  </si>
  <si>
    <t xml:space="preserve">    900261398     CENTRO AUDIOLOGICO ESPECIALIZADO CAE S.A.S.                 </t>
  </si>
  <si>
    <t>5673  CAE-Implementacion A</t>
  </si>
  <si>
    <t>001  CAE-ImplementAgentAt</t>
  </si>
  <si>
    <t xml:space="preserve">CENTRO AUDIOLOGICO ESPECIALIZADO CAE S.A.S.                 </t>
  </si>
  <si>
    <t xml:space="preserve">     6170965</t>
  </si>
  <si>
    <t>F-003-00000029568-001</t>
  </si>
  <si>
    <t xml:space="preserve">    900358225     COLOMBIA GLOBAL GROUP MINING &amp; BUSINESS SAS                 </t>
  </si>
  <si>
    <t>8783  OP. PUB. - WG - Line</t>
  </si>
  <si>
    <t>001  OP-WG-LineaBase Cart</t>
  </si>
  <si>
    <t xml:space="preserve">COLOMBIA GLOBAL GROUP MINING &amp; BUSINESS SAS                 </t>
  </si>
  <si>
    <t xml:space="preserve">     4660568</t>
  </si>
  <si>
    <t>F-003-00000026668-001</t>
  </si>
  <si>
    <t xml:space="preserve">    830501248     COMPAÑIA DE TELEVISION CARTAGENA DE INDIAS S A              </t>
  </si>
  <si>
    <t>1397  CNC CLARO - Audienci</t>
  </si>
  <si>
    <t>001  CNC CLARO-AudienciTV</t>
  </si>
  <si>
    <t xml:space="preserve">COMPAÑIA DE TELEVISION CARTAGENA DE INDIAS S A              </t>
  </si>
  <si>
    <t xml:space="preserve">  6056602441</t>
  </si>
  <si>
    <t xml:space="preserve">  6056602730</t>
  </si>
  <si>
    <t xml:space="preserve">CARTAGENA                     </t>
  </si>
  <si>
    <t>F-003-00000028056-001</t>
  </si>
  <si>
    <t>F-003-00000028078-001</t>
  </si>
  <si>
    <t>F-003-00000028143-001</t>
  </si>
  <si>
    <t>F-003-00000028262-001</t>
  </si>
  <si>
    <t>F-003-00000028317-001</t>
  </si>
  <si>
    <t>F-003-00000028464-001</t>
  </si>
  <si>
    <t xml:space="preserve">    800153993     COMUNICACION CELULAR S.A. COMCEL S.A.                       </t>
  </si>
  <si>
    <t>1454  CNC AEI - Observator</t>
  </si>
  <si>
    <t>001  CNC AEI-ObserCompTel</t>
  </si>
  <si>
    <t xml:space="preserve">COMUNICACION CELULAR S.A. COMCEL S.A.                       </t>
  </si>
  <si>
    <t xml:space="preserve">1305050214 SECTOR SERVICIOS PUBLICOS                         </t>
  </si>
  <si>
    <t>1305050214</t>
  </si>
  <si>
    <t xml:space="preserve">SECTOR SERVICIOS PUBLICOS                                                                                                                                                       </t>
  </si>
  <si>
    <t xml:space="preserve">     7429797</t>
  </si>
  <si>
    <t xml:space="preserve">     6181818</t>
  </si>
  <si>
    <t>F-003-00000028589-001</t>
  </si>
  <si>
    <t>F-003-00000029236-001</t>
  </si>
  <si>
    <t>1466  Claro-Portabilidad D</t>
  </si>
  <si>
    <t>001  Claro-PortabilDictam</t>
  </si>
  <si>
    <t>F-003-00000029429-001</t>
  </si>
  <si>
    <t>F-003-00000029527-001</t>
  </si>
  <si>
    <t>F-003-00000029528-001</t>
  </si>
  <si>
    <t xml:space="preserve">    890700906     CONSERVATORIO DEL TOLIMA                                    </t>
  </si>
  <si>
    <t>5123  Conserv.Tolima-Perce</t>
  </si>
  <si>
    <t>001  ConservTolima-PercNv</t>
  </si>
  <si>
    <t xml:space="preserve">CONSERVATORIO DEL TOLIMA                                    </t>
  </si>
  <si>
    <t xml:space="preserve">1305050105 SECTOR EDUCACION                                  </t>
  </si>
  <si>
    <t>1305050105</t>
  </si>
  <si>
    <t xml:space="preserve">SECTOR EDUCACION                                                                                                                                                                </t>
  </si>
  <si>
    <t xml:space="preserve">     2639139</t>
  </si>
  <si>
    <t xml:space="preserve">IBAGUE                        </t>
  </si>
  <si>
    <t>F-003-00000029472-001</t>
  </si>
  <si>
    <t>F-003-00000029540-001</t>
  </si>
  <si>
    <t xml:space="preserve">    830069499     CONSORCIO NACIONAL DE MEDIOS S.A.S                          </t>
  </si>
  <si>
    <t xml:space="preserve">CONSORCIO NACIONAL DE MEDIOS S.A.S                          </t>
  </si>
  <si>
    <t xml:space="preserve">     6109565</t>
  </si>
  <si>
    <t xml:space="preserve">  3108825201</t>
  </si>
  <si>
    <t>F-003-00000029592-001</t>
  </si>
  <si>
    <t xml:space="preserve">    819002587     CORPORACION CAMBIO COLOMBIA                                 </t>
  </si>
  <si>
    <t>8768  OP. PUB. - RM - Segu</t>
  </si>
  <si>
    <t xml:space="preserve">001  OP RM Segui Gest Gb </t>
  </si>
  <si>
    <t xml:space="preserve">CORPORACION CAMBIO COLOMBIA                                 </t>
  </si>
  <si>
    <t xml:space="preserve">  3162715446</t>
  </si>
  <si>
    <t xml:space="preserve">SANTA MARTA                   </t>
  </si>
  <si>
    <t>F-003-00000026428-001</t>
  </si>
  <si>
    <t>8878  OP. PUB. - CC - Estr</t>
  </si>
  <si>
    <t>001  OP-CC-EstrategCampPr</t>
  </si>
  <si>
    <t>F-003-00000028155-001</t>
  </si>
  <si>
    <t xml:space="preserve">    901076932     CORPORACION MUNDOVISION TELEVISION                          </t>
  </si>
  <si>
    <t xml:space="preserve">CORPORACION MUNDOVISION TELEVISION                          </t>
  </si>
  <si>
    <t xml:space="preserve">  6063489563</t>
  </si>
  <si>
    <t xml:space="preserve">  3136222226</t>
  </si>
  <si>
    <t xml:space="preserve">PEREIRA                       </t>
  </si>
  <si>
    <t>F-003-00000028047-001</t>
  </si>
  <si>
    <t>F-003-00000028077-001</t>
  </si>
  <si>
    <t>F-003-00000028144-001</t>
  </si>
  <si>
    <t>F-003-00000028263-001</t>
  </si>
  <si>
    <t>F-003-00000028318-001</t>
  </si>
  <si>
    <t>F-003-00000028466-001</t>
  </si>
  <si>
    <t xml:space="preserve">    900673217     CORPORACION PI3NSA                                          </t>
  </si>
  <si>
    <t>1448  CorpPiensa - Mincult</t>
  </si>
  <si>
    <t>001  CPiensa-MincultAudie</t>
  </si>
  <si>
    <t xml:space="preserve">CORPORACION PI3NSA                                          </t>
  </si>
  <si>
    <t xml:space="preserve">1305050205 SECTOR EDUCACION                                  </t>
  </si>
  <si>
    <t>1305050205</t>
  </si>
  <si>
    <t xml:space="preserve">  3016444672</t>
  </si>
  <si>
    <t xml:space="preserve">  3008845445</t>
  </si>
  <si>
    <t xml:space="preserve">CALI                          </t>
  </si>
  <si>
    <t>F-003-00000028876-001</t>
  </si>
  <si>
    <t xml:space="preserve">    899999083     DEPARTAMENTO ADMINISTRATIVO DE LA PRESIDENCIA DE LA REPUBLIC</t>
  </si>
  <si>
    <t>5672  DAPRE Fondo Paz-Perc</t>
  </si>
  <si>
    <t>001  DAPREFondoPaz-PerCap</t>
  </si>
  <si>
    <t>DEPARTAMENTO ADMINISTRATIVO DE LA PRESIDENCIA DE LA REPUBLIC</t>
  </si>
  <si>
    <t xml:space="preserve">1305050115 SECTOR SERVICIOS DE GOBIERNO                      </t>
  </si>
  <si>
    <t>1305050115</t>
  </si>
  <si>
    <t xml:space="preserve">SECTOR SERVICIOS DE GOBIERNO                                                                                                                                                    </t>
  </si>
  <si>
    <t xml:space="preserve">     5629300</t>
  </si>
  <si>
    <t xml:space="preserve">     3526666</t>
  </si>
  <si>
    <t>F-003-00000029576-001</t>
  </si>
  <si>
    <t xml:space="preserve">    899999011     DEPARTAMENTO NACIONAL DE PLANEACION                         </t>
  </si>
  <si>
    <t>5093  DNP-Concesiones Vial</t>
  </si>
  <si>
    <t>001  DNP-ConcesionVialesP</t>
  </si>
  <si>
    <t xml:space="preserve">DEPARTAMENTO NACIONAL DE PLANEACION                         </t>
  </si>
  <si>
    <t xml:space="preserve">     3815000</t>
  </si>
  <si>
    <t>F-003-00000029333-001</t>
  </si>
  <si>
    <t>F-003-00000029521-001</t>
  </si>
  <si>
    <t>F-003-00000029565-001</t>
  </si>
  <si>
    <t xml:space="preserve">    444444551     DISCOVERY COMMUNICATIONS LLC                                </t>
  </si>
  <si>
    <t>1457  CNC CLARO - 2025 Aud</t>
  </si>
  <si>
    <t>001  CNC CLARO-AudienciaT</t>
  </si>
  <si>
    <t xml:space="preserve">DISCOVERY COMMUNICATIONS LLC                                </t>
  </si>
  <si>
    <t xml:space="preserve">MIAMI                         </t>
  </si>
  <si>
    <t>F-004-00000000080-001</t>
  </si>
  <si>
    <t>1492  CNC-Audiencia Televi</t>
  </si>
  <si>
    <t>001  CNC-Audiencia TV Chi</t>
  </si>
  <si>
    <t>F-004-00000000098-001</t>
  </si>
  <si>
    <t xml:space="preserve">    890480184     DISTRITO TURISTICO Y CULTURAL DE CARTAGENA DE INDIAS        </t>
  </si>
  <si>
    <t xml:space="preserve">8561  OP. PUB. - Alcaldia </t>
  </si>
  <si>
    <t>006  OP.PUB.- Alcaldia Ca</t>
  </si>
  <si>
    <t xml:space="preserve">DISTRITO TURISTICO Y CULTURAL DE CARTAGENA DE INDIAS        </t>
  </si>
  <si>
    <t xml:space="preserve">    56501095</t>
  </si>
  <si>
    <t xml:space="preserve">    56501092</t>
  </si>
  <si>
    <t xml:space="preserve">TUNJA                         </t>
  </si>
  <si>
    <t>F-001-00000021195-001</t>
  </si>
  <si>
    <t>F-001-00000021196-001</t>
  </si>
  <si>
    <t xml:space="preserve">    816002019     EMPRESA DE ENERGIA DE PEREIRA SA ESP                        </t>
  </si>
  <si>
    <t>5122  EEP-Indice Global Re</t>
  </si>
  <si>
    <t>001  EEP-IndicGlobalReput</t>
  </si>
  <si>
    <t xml:space="preserve">EMPRESA DE ENERGIA DE PEREIRA SA ESP                        </t>
  </si>
  <si>
    <t xml:space="preserve">1305050114 SECTOR SERVICIOS PUBLICOS                         </t>
  </si>
  <si>
    <t>1305050114</t>
  </si>
  <si>
    <t xml:space="preserve">     3151515</t>
  </si>
  <si>
    <t xml:space="preserve">     3151513</t>
  </si>
  <si>
    <t>F-003-00000029554-001</t>
  </si>
  <si>
    <t>F-003-00000029555-001</t>
  </si>
  <si>
    <t xml:space="preserve">    830031333     ENCINAS INVESTMENT FUND SAS                                 </t>
  </si>
  <si>
    <t>8758  OP. PUB. - AL - Line</t>
  </si>
  <si>
    <t>001  OP-AL-LiBaseSeguimCa</t>
  </si>
  <si>
    <t xml:space="preserve">ENCINAS INVESTMENT FUND SAS                                 </t>
  </si>
  <si>
    <t xml:space="preserve">     3003934</t>
  </si>
  <si>
    <t xml:space="preserve">  3138720730</t>
  </si>
  <si>
    <t>F-003-00000025814-001</t>
  </si>
  <si>
    <t xml:space="preserve">    800131648     FONDO UNICO DE TECNOLOGIAS DE LA INFORMACION Y LAS COMUNICAC</t>
  </si>
  <si>
    <t>4227  FONTIC-Mision de Tra</t>
  </si>
  <si>
    <t>001  FONTIC-MisTransforDi</t>
  </si>
  <si>
    <t>FONDO UNICO DE TECNOLOGIAS DE LA INFORMACION Y LAS COMUNICAC</t>
  </si>
  <si>
    <t xml:space="preserve">     3443460</t>
  </si>
  <si>
    <t xml:space="preserve">     3442281</t>
  </si>
  <si>
    <t>F-003-00000029549-001</t>
  </si>
  <si>
    <t xml:space="preserve">    900097588     FUNDACION PLAN                                              </t>
  </si>
  <si>
    <t>5110  Fund Plan - Lidero c</t>
  </si>
  <si>
    <t>001  FunPlan-LideroconVoz</t>
  </si>
  <si>
    <t xml:space="preserve">FUNDACION PLAN                                              </t>
  </si>
  <si>
    <t xml:space="preserve">     2362186</t>
  </si>
  <si>
    <t xml:space="preserve">     7940600</t>
  </si>
  <si>
    <t>F-003-00000029580-001</t>
  </si>
  <si>
    <t xml:space="preserve">    860070624     GRUPO ONE SAS                                               </t>
  </si>
  <si>
    <t xml:space="preserve">GRUPO ONE SAS                                               </t>
  </si>
  <si>
    <t xml:space="preserve">  3212055764</t>
  </si>
  <si>
    <t xml:space="preserve">     7432301</t>
  </si>
  <si>
    <t>F-003-00000029517-001</t>
  </si>
  <si>
    <t xml:space="preserve">    830035904     HAVAS MEDIA COLOMBIA S.A.S                                  </t>
  </si>
  <si>
    <t xml:space="preserve">HAVAS MEDIA COLOMBIA S.A.S                                  </t>
  </si>
  <si>
    <t xml:space="preserve">     3173010</t>
  </si>
  <si>
    <t xml:space="preserve">  3214402482</t>
  </si>
  <si>
    <t>F-003-00000029504-001</t>
  </si>
  <si>
    <t>F-003-00000029541-001</t>
  </si>
  <si>
    <t>F-003-00000029542-001</t>
  </si>
  <si>
    <t>F-003-00000029586-001</t>
  </si>
  <si>
    <t xml:space="preserve">    860533413     I R C C S.A.S INDUSTRIA DE RESTAURANTES CASUALES S.A.S      </t>
  </si>
  <si>
    <t>3887  IRCC-Sistema Evaluac</t>
  </si>
  <si>
    <t xml:space="preserve">001  IRCC-SEE Corral     </t>
  </si>
  <si>
    <t xml:space="preserve">I R C C S.A.S INDUSTRIA DE RESTAURANTES CASUALES S.A.S      </t>
  </si>
  <si>
    <t xml:space="preserve">    22222222</t>
  </si>
  <si>
    <t>F-003-00000029574-001</t>
  </si>
  <si>
    <t xml:space="preserve">   4444444472     INNOVATIONS FOR POVERTY ACTION                              </t>
  </si>
  <si>
    <t>1478  IPA - BID Saber Hace</t>
  </si>
  <si>
    <t>001  IPA-BIDSaberHacerVal</t>
  </si>
  <si>
    <t xml:space="preserve">INNOVATIONS FOR POVERTY ACTION                              </t>
  </si>
  <si>
    <t xml:space="preserve">     3394949</t>
  </si>
  <si>
    <t xml:space="preserve">OTRAS CIUDADES                </t>
  </si>
  <si>
    <t>F-004-00000000103-001</t>
  </si>
  <si>
    <t>1489  BID IPA - Talentos q</t>
  </si>
  <si>
    <t>001  BID IPA-TalentosqImp</t>
  </si>
  <si>
    <t>F-004-00000000104-001</t>
  </si>
  <si>
    <t xml:space="preserve">    901892309     INTEGRA METRICS COLOMBIA SAS                                </t>
  </si>
  <si>
    <t xml:space="preserve">INTEGRA METRICS COLOMBIA SAS                                </t>
  </si>
  <si>
    <t xml:space="preserve">1305050102 SECTOR CONSULTORIA/INVESTIGACION                  </t>
  </si>
  <si>
    <t>1305050102</t>
  </si>
  <si>
    <t xml:space="preserve">SECTOR CONSULTORIA/INVESTIGACION                                                                                                                                                </t>
  </si>
  <si>
    <t xml:space="preserve">  3112306640</t>
  </si>
  <si>
    <t>F-003-00000029425-001</t>
  </si>
  <si>
    <t>F-003-00000029469-001</t>
  </si>
  <si>
    <t>F-003-00000029519-001</t>
  </si>
  <si>
    <t xml:space="preserve">    444444537     INTERNATIONAL DEVELOPMENT GROUP                             </t>
  </si>
  <si>
    <t>4176  IDG - Eval. Programa</t>
  </si>
  <si>
    <t>001  IDG Eval Prog Param&amp;</t>
  </si>
  <si>
    <t xml:space="preserve">INTERNATIONAL DEVELOPMENT GROUP                             </t>
  </si>
  <si>
    <t xml:space="preserve">  5713367980</t>
  </si>
  <si>
    <t xml:space="preserve">ARLINGTON                     </t>
  </si>
  <si>
    <t>F-003-00000027675-001</t>
  </si>
  <si>
    <t xml:space="preserve">    444444495     INTERNATIONAL REPUBLICAN INSTITUTE - 521340267              </t>
  </si>
  <si>
    <t>3866  IRI-Percepcion CITRE</t>
  </si>
  <si>
    <t>001  IRI-Percepcion CITRE</t>
  </si>
  <si>
    <t xml:space="preserve">INTERNATIONAL REPUBLICAN INSTITUTE - 521340267              </t>
  </si>
  <si>
    <t xml:space="preserve">  2014089450</t>
  </si>
  <si>
    <t xml:space="preserve">WASHINGTON                    </t>
  </si>
  <si>
    <t>F-004-00000000099-001</t>
  </si>
  <si>
    <t xml:space="preserve">    900700061     IPROSPECT COLOMBIA SAS                                      </t>
  </si>
  <si>
    <t xml:space="preserve">IPROSPECT COLOMBIA SAS                                      </t>
  </si>
  <si>
    <t>F-003-00000029595-001</t>
  </si>
  <si>
    <t xml:space="preserve">    800167898     J.H. HOYOS &amp; ASOCIADOS S.A.S.                               </t>
  </si>
  <si>
    <t xml:space="preserve">J.H. HOYOS &amp; ASOCIADOS S.A.S.                               </t>
  </si>
  <si>
    <t xml:space="preserve">     6170001</t>
  </si>
  <si>
    <t xml:space="preserve">     6170004</t>
  </si>
  <si>
    <t>F-003-00000029591-001</t>
  </si>
  <si>
    <t xml:space="preserve">    900582064     JAIME ARTEAGA Y ASOCIADOS SAS                               </t>
  </si>
  <si>
    <t xml:space="preserve">3844  JA&amp;A- OPP Tamesis y </t>
  </si>
  <si>
    <t>001  JA&amp;A-OPPTamesisJeric</t>
  </si>
  <si>
    <t xml:space="preserve">JAIME ARTEAGA Y ASOCIADOS SAS                               </t>
  </si>
  <si>
    <t xml:space="preserve">1305050211 SECTOR MINAS Y ENERGIA                            </t>
  </si>
  <si>
    <t>1305050211</t>
  </si>
  <si>
    <t xml:space="preserve">     7477720</t>
  </si>
  <si>
    <t xml:space="preserve">  3112544377</t>
  </si>
  <si>
    <t>F-003-00000029491-001</t>
  </si>
  <si>
    <t xml:space="preserve">    901338293     LA MOVIDA ON LINE S.A.S.                                    </t>
  </si>
  <si>
    <t xml:space="preserve">1322  UCEP - ECAR 2022    </t>
  </si>
  <si>
    <t>001  UCEP - ECAR 2022-Ene</t>
  </si>
  <si>
    <t xml:space="preserve">LA MOVIDA ON LINE S.A.S.                                    </t>
  </si>
  <si>
    <t xml:space="preserve">  3105060144</t>
  </si>
  <si>
    <t>F-003-00000025390-001</t>
  </si>
  <si>
    <t>002  UCEP - ECAR 2022-Feb</t>
  </si>
  <si>
    <t>F-003-00000025467-001</t>
  </si>
  <si>
    <t>003  UCEP - ECAR 2022-Mar</t>
  </si>
  <si>
    <t>F-003-00000025557-001</t>
  </si>
  <si>
    <t>004  UCEP - ECAR 2022-Abr</t>
  </si>
  <si>
    <t>F-003-00000025641-001</t>
  </si>
  <si>
    <t>005  UCEP - ECAR 2022-May</t>
  </si>
  <si>
    <t>F-003-00000025722-001</t>
  </si>
  <si>
    <t>006  UCEP - ECAR 2022-Jun</t>
  </si>
  <si>
    <t>F-003-00000025805-001</t>
  </si>
  <si>
    <t xml:space="preserve">     12713706     LACOUTURE LACOUTURE JAIME ENRIQUE                           </t>
  </si>
  <si>
    <t>8867  OP. PUB. - JL - Alca</t>
  </si>
  <si>
    <t>001  OP-JL-AlcaldVillanue</t>
  </si>
  <si>
    <t xml:space="preserve">LACOUTURE LACOUTURE JAIME ENRIQUE                           </t>
  </si>
  <si>
    <t xml:space="preserve">  3126701079</t>
  </si>
  <si>
    <t xml:space="preserve">BARRANQUILLA                  </t>
  </si>
  <si>
    <t>F-003-00000027393-001</t>
  </si>
  <si>
    <t xml:space="preserve">    891700037     MAPFRE SEGUROS GENERALES DE COLOMBIA S A                    </t>
  </si>
  <si>
    <t>3877  Mapfre-Precios Merca</t>
  </si>
  <si>
    <t>001  Mapfre-PreciosMdoCte</t>
  </si>
  <si>
    <t xml:space="preserve">MAPFRE SEGUROS GENERALES DE COLOMBIA S A                    </t>
  </si>
  <si>
    <t xml:space="preserve">1305050206 SECTOR FINANCIERO                                 </t>
  </si>
  <si>
    <t>1305050206</t>
  </si>
  <si>
    <t xml:space="preserve">     6503300</t>
  </si>
  <si>
    <t>F-003-00000029569-001</t>
  </si>
  <si>
    <t xml:space="preserve">    899999001     MINISTERIO DE EDUCACION NACIONAL                            </t>
  </si>
  <si>
    <t>6454  MEN - Trayectorias E</t>
  </si>
  <si>
    <t>001  MEN-TrayectoriEducat</t>
  </si>
  <si>
    <t xml:space="preserve">MINISTERIO DE EDUCACION NACIONAL                            </t>
  </si>
  <si>
    <t xml:space="preserve">  6012222800</t>
  </si>
  <si>
    <t>F-003-00000029562-001</t>
  </si>
  <si>
    <t>F-003-00000029563-001</t>
  </si>
  <si>
    <t xml:space="preserve">    860015547     MMS COMUNICACIONES COLOMBIA S.A.S.                          </t>
  </si>
  <si>
    <t xml:space="preserve">MMS COMUNICACIONES COLOMBIA S.A.S.                          </t>
  </si>
  <si>
    <t xml:space="preserve">     7560650</t>
  </si>
  <si>
    <t xml:space="preserve">     7425959</t>
  </si>
  <si>
    <t>F-003-00000029505-001</t>
  </si>
  <si>
    <t>F-003-00000029593-001</t>
  </si>
  <si>
    <t xml:space="preserve">    800113389     MUNICIPIO DE IBAGUE                                         </t>
  </si>
  <si>
    <t xml:space="preserve">3867  Alcaldia Ibague-Uso </t>
  </si>
  <si>
    <t>001  AlcaldIbague-UsoTiem</t>
  </si>
  <si>
    <t xml:space="preserve">MUNICIPIO DE IBAGUE                                         </t>
  </si>
  <si>
    <t xml:space="preserve">     2611189</t>
  </si>
  <si>
    <t xml:space="preserve">     2634233</t>
  </si>
  <si>
    <t xml:space="preserve">POPAYÁN                       </t>
  </si>
  <si>
    <t>F-003-00000029497-001</t>
  </si>
  <si>
    <t xml:space="preserve">    901712024     ONE DATA DECISION SAS                                       </t>
  </si>
  <si>
    <t>9152  ODD - Base Observato</t>
  </si>
  <si>
    <t>001  ODD-BaseObservatoNut</t>
  </si>
  <si>
    <t xml:space="preserve">ONE DATA DECISION SAS                                       </t>
  </si>
  <si>
    <t xml:space="preserve">  3212300297</t>
  </si>
  <si>
    <t>F-003-00000028551-001</t>
  </si>
  <si>
    <t xml:space="preserve">    444444552     OPPORTUNITY INTERNATIONAL INC                               </t>
  </si>
  <si>
    <t xml:space="preserve">3853  Opportunity-Credito </t>
  </si>
  <si>
    <t>001  Opportunity-CredEd1r</t>
  </si>
  <si>
    <t xml:space="preserve">OPPORTUNITY INTERNATIONAL INC                               </t>
  </si>
  <si>
    <t xml:space="preserve">  8007939455</t>
  </si>
  <si>
    <t xml:space="preserve">CHICAGO                       </t>
  </si>
  <si>
    <t>F-004-00000000093-001</t>
  </si>
  <si>
    <t xml:space="preserve">    830059566     OPTIMA TM S.A.S.                                            </t>
  </si>
  <si>
    <t xml:space="preserve">3125  UCEP-ECAR 2018      </t>
  </si>
  <si>
    <t xml:space="preserve">011  ECAR-Noviembre 2018 </t>
  </si>
  <si>
    <t xml:space="preserve">OPTIMA TM S.A.S.                                            </t>
  </si>
  <si>
    <t xml:space="preserve">     6373702</t>
  </si>
  <si>
    <t>F-002-00000022344-001</t>
  </si>
  <si>
    <t xml:space="preserve">012  ECAR-Diciembre 2018 </t>
  </si>
  <si>
    <t>F-002-00000022436-001</t>
  </si>
  <si>
    <t xml:space="preserve">1171  UCEP - ECAR 2020    </t>
  </si>
  <si>
    <t>001  UCEP-ECAR 2020-Enero</t>
  </si>
  <si>
    <t>F-002-00000022534-001</t>
  </si>
  <si>
    <t>002  UCEP-ECAR 2019-Febre</t>
  </si>
  <si>
    <t>F-002-00000022562-001</t>
  </si>
  <si>
    <t>003  UCEP-ECAR 2019-Marzo</t>
  </si>
  <si>
    <t>F-002-00000022634-001</t>
  </si>
  <si>
    <t>004  UCEP-ECAR 2019-Abril</t>
  </si>
  <si>
    <t>F-002-00000022684-001</t>
  </si>
  <si>
    <t>006  UCEP-ECAR 2019-Junio</t>
  </si>
  <si>
    <t>F-002-00000022808-001</t>
  </si>
  <si>
    <t xml:space="preserve">005  UCEP-ECAR 2019-Mayo </t>
  </si>
  <si>
    <t>F-002-00000022745-001</t>
  </si>
  <si>
    <t>007  UCEP-ECAR 2019-Julio</t>
  </si>
  <si>
    <t>F-002-00000022870-001</t>
  </si>
  <si>
    <t>008  UCEP-ECAR 2019-Agost</t>
  </si>
  <si>
    <t>F-002-00000022936-001</t>
  </si>
  <si>
    <t>009  UCEP-ECAR 2019-Septi</t>
  </si>
  <si>
    <t>F-002-00000023027-001</t>
  </si>
  <si>
    <t>010  UCEP-ECAR 2019-Octub</t>
  </si>
  <si>
    <t>F-002-00000023107-001</t>
  </si>
  <si>
    <t>011  UCEP-ECAR 2019-Novie</t>
  </si>
  <si>
    <t>F-002-00000023186-001</t>
  </si>
  <si>
    <t>012  UCEP-ECAR 2019-Dicie</t>
  </si>
  <si>
    <t>F-002-00000023290-001</t>
  </si>
  <si>
    <t>F-002-00000023414-001</t>
  </si>
  <si>
    <t>F-002-00000023475-001</t>
  </si>
  <si>
    <t>F-002-00000023535-001</t>
  </si>
  <si>
    <t>F-002-00000023656-001</t>
  </si>
  <si>
    <t>F-002-00000023659-001</t>
  </si>
  <si>
    <t>F-002-00000023729-001</t>
  </si>
  <si>
    <t>F-002-00000023784-001</t>
  </si>
  <si>
    <t xml:space="preserve">    890103197     ORGANIZACION RADIAL OLIMPICA S.A.                           </t>
  </si>
  <si>
    <t>013  UCEP-ECAR2024-2025-X</t>
  </si>
  <si>
    <t xml:space="preserve">ORGANIZACION RADIAL OLIMPICA S.A.                           </t>
  </si>
  <si>
    <t xml:space="preserve">     3580500</t>
  </si>
  <si>
    <t xml:space="preserve">     3589642</t>
  </si>
  <si>
    <t>F-003-00000029415-001</t>
  </si>
  <si>
    <t>F-003-00000029522-001</t>
  </si>
  <si>
    <t>F-003-00000029588-001</t>
  </si>
  <si>
    <t xml:space="preserve">    901724081     PARTIDO POLITICO INDEPENDIENTES                             </t>
  </si>
  <si>
    <t>0020  GENERALES OPERATIVOS</t>
  </si>
  <si>
    <t>001  GENERALES OPERATIVOS</t>
  </si>
  <si>
    <t xml:space="preserve">PARTIDO POLITICO INDEPENDIENTES                             </t>
  </si>
  <si>
    <t xml:space="preserve">1305050101 SECTOR AGROPECUARIO                               </t>
  </si>
  <si>
    <t>1305050101</t>
  </si>
  <si>
    <t xml:space="preserve">SECTOR AGROPECUARIO                                                                                                                                                             </t>
  </si>
  <si>
    <t xml:space="preserve">  3185614823</t>
  </si>
  <si>
    <t>L-020-00000003397-001</t>
  </si>
  <si>
    <t xml:space="preserve">    901354361     PARTNERS TELECOM COLOMBIA S.A.S.                            </t>
  </si>
  <si>
    <t>1395  CNC AEI - Observator</t>
  </si>
  <si>
    <t>001  Observatorio Compete</t>
  </si>
  <si>
    <t xml:space="preserve">PARTNERS TELECOM COLOMBIA S.A.S.                            </t>
  </si>
  <si>
    <t xml:space="preserve">     3192900</t>
  </si>
  <si>
    <t>F-003-00000027878-001</t>
  </si>
  <si>
    <t xml:space="preserve">    901569808     PRODUCCIONES BISMINDS S A S                                 </t>
  </si>
  <si>
    <t xml:space="preserve">PRODUCCIONES BISMINDS S A S                                 </t>
  </si>
  <si>
    <t xml:space="preserve">  3146219672</t>
  </si>
  <si>
    <t xml:space="preserve">ITAGUI                        </t>
  </si>
  <si>
    <t>F-003-00000028257-001</t>
  </si>
  <si>
    <t>F-003-00000028319-001</t>
  </si>
  <si>
    <t>F-003-00000028395-001</t>
  </si>
  <si>
    <t xml:space="preserve">    860354098     PRODUCCIONES WILLVIN S.A.                                   </t>
  </si>
  <si>
    <t xml:space="preserve">011  UCEP-ECAR2024-2025- </t>
  </si>
  <si>
    <t xml:space="preserve">PRODUCCIONES WILLVIN S.A.                                   </t>
  </si>
  <si>
    <t xml:space="preserve">     2220001</t>
  </si>
  <si>
    <t xml:space="preserve">     2224188</t>
  </si>
  <si>
    <t>F-003-00000029251-001</t>
  </si>
  <si>
    <t xml:space="preserve">012  UCEP-ECAR2024-2025- </t>
  </si>
  <si>
    <t>F-003-00000029335-001</t>
  </si>
  <si>
    <t>F-003-00000029416-001</t>
  </si>
  <si>
    <t>F-003-00000029500-001</t>
  </si>
  <si>
    <t>F-003-00000029589-001</t>
  </si>
  <si>
    <t xml:space="preserve">    900141687     PROPUESTA DE MARCA S.A.S                                    </t>
  </si>
  <si>
    <t xml:space="preserve">PROPUESTA DE MARCA S.A.S                                    </t>
  </si>
  <si>
    <t xml:space="preserve">     4936000</t>
  </si>
  <si>
    <t>F-003-00000026628-001</t>
  </si>
  <si>
    <t>F-003-00000026775-001</t>
  </si>
  <si>
    <t>F-003-00000026855-001</t>
  </si>
  <si>
    <t>F-003-00000026969-001</t>
  </si>
  <si>
    <t xml:space="preserve">    900717825     QUIROGA AGENCIA MEDIOS SUCURSAL COLOMBIA                    </t>
  </si>
  <si>
    <t xml:space="preserve">QUIROGA AGENCIA MEDIOS SUCURSAL COLOMBIA                    </t>
  </si>
  <si>
    <t xml:space="preserve">1305050110 SECTOR MEDIOS DE COMUNICACION                     </t>
  </si>
  <si>
    <t>1305050110</t>
  </si>
  <si>
    <t xml:space="preserve">  6018053828</t>
  </si>
  <si>
    <t>F-003-00000029476-001</t>
  </si>
  <si>
    <t xml:space="preserve">    890903910     RADIO CADENA NACIONAL S A S                                 </t>
  </si>
  <si>
    <t xml:space="preserve">RADIO CADENA NACIONAL S A S                                 </t>
  </si>
  <si>
    <t xml:space="preserve">     3147070</t>
  </si>
  <si>
    <t>F-003-00000029501-001</t>
  </si>
  <si>
    <t>F-003-00000029590-001</t>
  </si>
  <si>
    <t xml:space="preserve">    830029703     RCN TELEVISION S A                                          </t>
  </si>
  <si>
    <t xml:space="preserve">RCN TELEVISION S A                                          </t>
  </si>
  <si>
    <t xml:space="preserve">     4269292</t>
  </si>
  <si>
    <t xml:space="preserve">     4269309</t>
  </si>
  <si>
    <t>F-003-00000029587-001</t>
  </si>
  <si>
    <t xml:space="preserve">    805009514     REDCOLSA RED COLOMBIANA DE SERVICIOS S.A.                   </t>
  </si>
  <si>
    <t>1493  Redcolsa-Habitos Cli</t>
  </si>
  <si>
    <t>001  Redcolsa-HabitCteGan</t>
  </si>
  <si>
    <t xml:space="preserve">REDCOLSA RED COLOMBIANA DE SERVICIOS S.A.                   </t>
  </si>
  <si>
    <t xml:space="preserve">     8843434</t>
  </si>
  <si>
    <t>F-003-00000029560-001</t>
  </si>
  <si>
    <t xml:space="preserve">    901766186     TELENOMINA &amp; SERVICIOS S.A.S                                </t>
  </si>
  <si>
    <t>8914  OPP-EG-Coyuntura Nac</t>
  </si>
  <si>
    <t>001  OPP-EG-Coyuntura Nac</t>
  </si>
  <si>
    <t xml:space="preserve">TELENOMINA &amp; SERVICIOS S.A.S                                </t>
  </si>
  <si>
    <t xml:space="preserve">   604520110</t>
  </si>
  <si>
    <t>F-003-00000029480-001</t>
  </si>
  <si>
    <t xml:space="preserve">    901658442     TERRA SERVICIOS Y CONSTRUCCIONES SAS                        </t>
  </si>
  <si>
    <t>8812  OP. PUB. - HDF- LB A</t>
  </si>
  <si>
    <t>001  OP-HDF- LB AlcaldSab</t>
  </si>
  <si>
    <t xml:space="preserve">TERRA SERVICIOS Y CONSTRUCCIONES SAS                        </t>
  </si>
  <si>
    <t xml:space="preserve">1305050217 SECTOR SEGUROS                                    </t>
  </si>
  <si>
    <t>1305050217</t>
  </si>
  <si>
    <t xml:space="preserve">SECTOR SEGUROS                                                                                                                                                                  </t>
  </si>
  <si>
    <t xml:space="preserve">  3244195121</t>
  </si>
  <si>
    <t xml:space="preserve">SABANETA                      </t>
  </si>
  <si>
    <t>F-003-00000027150-001</t>
  </si>
  <si>
    <t>8785  OP. PUB. - JM - Inte</t>
  </si>
  <si>
    <t>001  OP-JM-IntVotoAlcalSa</t>
  </si>
  <si>
    <t>R-001-00000022239-001</t>
  </si>
  <si>
    <t xml:space="preserve">    444444541     TURNER INTERNATIONAL LATIN AMERICA INC                      </t>
  </si>
  <si>
    <t xml:space="preserve">TURNER INTERNATIONAL LATIN AMERICA INC                      </t>
  </si>
  <si>
    <t xml:space="preserve">  3016825556</t>
  </si>
  <si>
    <t xml:space="preserve">ATLANTA                       </t>
  </si>
  <si>
    <t>F-004-00000000081-001</t>
  </si>
  <si>
    <t>F-004-00000000096-001</t>
  </si>
  <si>
    <t xml:space="preserve">    900668109     UB ALCOHOLES DE AMERICA SAS                                 </t>
  </si>
  <si>
    <t>8666  OP. PUB. - MN - Alca</t>
  </si>
  <si>
    <t>001  OP-MN-Alcaldia Medel</t>
  </si>
  <si>
    <t xml:space="preserve">UB ALCOHOLES DE AMERICA SAS                                 </t>
  </si>
  <si>
    <t xml:space="preserve">     6205880</t>
  </si>
  <si>
    <t xml:space="preserve">  3186205880</t>
  </si>
  <si>
    <t>F-002-00000023051-001</t>
  </si>
  <si>
    <t xml:space="preserve">    900092385     UNE EPM TELECOMUNICACIONES S.A.                             </t>
  </si>
  <si>
    <t xml:space="preserve">UNE EPM TELECOMUNICACIONES S.A.                             </t>
  </si>
  <si>
    <t xml:space="preserve">1305051207 SECTOR INFORMATICA Y COMUNICACIONES               </t>
  </si>
  <si>
    <t>1305051207</t>
  </si>
  <si>
    <t xml:space="preserve">SECTOR INFORMATICA Y COMUNICACIONES                                                                                                                                             </t>
  </si>
  <si>
    <t xml:space="preserve">     5153382</t>
  </si>
  <si>
    <t xml:space="preserve">     5158412</t>
  </si>
  <si>
    <t>F-003-00000029526-001</t>
  </si>
  <si>
    <t xml:space="preserve">    890102572     UNIVERSIDAD AUTONOMA DEL CARIBE                             </t>
  </si>
  <si>
    <t>6034  UAC - Relato Histori</t>
  </si>
  <si>
    <t>001  UAC-Relato Historic.</t>
  </si>
  <si>
    <t xml:space="preserve">UNIVERSIDAD AUTONOMA DEL CARIBE                             </t>
  </si>
  <si>
    <t xml:space="preserve">1305050201 SECTOR AGROPECUARIO                               </t>
  </si>
  <si>
    <t>1305050201</t>
  </si>
  <si>
    <t xml:space="preserve">     3671000</t>
  </si>
  <si>
    <t xml:space="preserve">         418</t>
  </si>
  <si>
    <t>F-001-00000021076-001</t>
  </si>
  <si>
    <t>F-001-00000021362-001</t>
  </si>
  <si>
    <t>9351  UAC - Indice de Civi</t>
  </si>
  <si>
    <t>003  UAC - Indice de Civi</t>
  </si>
  <si>
    <t>F-001-00000019670-001</t>
  </si>
  <si>
    <t xml:space="preserve">4444444444600     VIACIENCIA S.R.L.                                           </t>
  </si>
  <si>
    <t>0480  CNC - Proyecto Inter</t>
  </si>
  <si>
    <t>001  CNC-Internacionaliza</t>
  </si>
  <si>
    <t xml:space="preserve">VIACIENCIA S.R.L.                                           </t>
  </si>
  <si>
    <t xml:space="preserve">    75627572</t>
  </si>
  <si>
    <t xml:space="preserve">SANTA CRUZ DE LA SIERRA       </t>
  </si>
  <si>
    <t>F-003-00000027689-001</t>
  </si>
  <si>
    <t>012  ViacienBolivia-Visio</t>
  </si>
  <si>
    <t>F-003-00000027691-001</t>
  </si>
  <si>
    <t xml:space="preserve">    900219120     VIVA 1 A IPS S.A.                                           </t>
  </si>
  <si>
    <t>3880  Viva 1A-Implementaci</t>
  </si>
  <si>
    <t>001  Viva1A-ImplementSati</t>
  </si>
  <si>
    <t xml:space="preserve">VIVA 1 A IPS S.A.                                           </t>
  </si>
  <si>
    <t xml:space="preserve">     3859111</t>
  </si>
  <si>
    <t>F-003-00000029525-001</t>
  </si>
  <si>
    <t xml:space="preserve">    900541359     WIN SPORTS S.A.S.                                           </t>
  </si>
  <si>
    <t xml:space="preserve">WIN SPORTS S.A.S.                                           </t>
  </si>
  <si>
    <t xml:space="preserve">1305051102 SECTOR CONSULTORIA/INVESTIGACION                  </t>
  </si>
  <si>
    <t>1305051102</t>
  </si>
  <si>
    <t xml:space="preserve">     7956464</t>
  </si>
  <si>
    <t xml:space="preserve">  3142127624</t>
  </si>
  <si>
    <t>F-003-00000029531-001</t>
  </si>
  <si>
    <t xml:space="preserve">    830058081     WPP MEDIA MANAGEMENT COLOMBIA SAS                           </t>
  </si>
  <si>
    <t xml:space="preserve">WPP MEDIA MANAGEMENT COLOMBIA SAS                           </t>
  </si>
  <si>
    <t xml:space="preserve">     6444144</t>
  </si>
  <si>
    <t xml:space="preserve">     6382590</t>
  </si>
  <si>
    <t>F-003-00000029596-001</t>
  </si>
  <si>
    <t>Procesado en: 2026/01/19  16:04:42:36</t>
  </si>
  <si>
    <t>EDADES DE CARTERA: DETALLADA - ALFABETICO</t>
  </si>
  <si>
    <t>Siigo - CENTRO NACIONAL DE CONSULTORIA S.A.</t>
  </si>
  <si>
    <t>ENE/19/2026</t>
  </si>
  <si>
    <t>TOTAL</t>
  </si>
  <si>
    <t>ESTADO</t>
  </si>
  <si>
    <t>Vencido</t>
  </si>
  <si>
    <t>No Vencido</t>
  </si>
  <si>
    <t>Juridica</t>
  </si>
  <si>
    <t>Casos Especiales</t>
  </si>
  <si>
    <t>EMAIL</t>
  </si>
  <si>
    <t>pepito@hotmail.com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</si>
</sst>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,##0_);[Red]\(##,##0\)"/>
    <numFmt numFmtId="165" formatCode="##,##0.00_);[Red]\(##,##0.00\)"/>
    <numFmt numFmtId="166" formatCode="yyyy/mm/dd"/>
  </numFmts>
  <fonts count="21">
    <font>
      <sz val="10"/>
      <name val="Verdana   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Verdana   "/>
    </font>
    <font>
      <b/>
      <sz val="18"/>
      <name val="Verdana   "/>
    </font>
    <font>
      <u/>
      <sz val="10"/>
      <color theme="10"/>
      <name val="Verdana   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20">
    <xf numFmtId="0" fontId="0" fillId="0" borderId="0" xfId="0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33" borderId="0" xfId="0" applyFill="1"/>
    <xf numFmtId="164" fontId="0" fillId="33" borderId="0" xfId="0" applyNumberFormat="1" applyFill="1"/>
    <xf numFmtId="165" fontId="0" fillId="33" borderId="0" xfId="0" applyNumberFormat="1" applyFill="1"/>
    <xf numFmtId="166" fontId="0" fillId="33" borderId="0" xfId="0" applyNumberFormat="1" applyFill="1"/>
    <xf numFmtId="0" fontId="18" fillId="33" borderId="0" xfId="0" applyFont="1" applyFill="1"/>
    <xf numFmtId="164" fontId="18" fillId="33" borderId="0" xfId="0" applyNumberFormat="1" applyFont="1" applyFill="1"/>
    <xf numFmtId="49" fontId="18" fillId="33" borderId="0" xfId="0" applyNumberFormat="1" applyFont="1" applyFill="1"/>
    <xf numFmtId="165" fontId="18" fillId="33" borderId="0" xfId="0" applyNumberFormat="1" applyFont="1" applyFill="1"/>
    <xf numFmtId="166" fontId="18" fillId="33" borderId="0" xfId="0" applyNumberFormat="1" applyFont="1" applyFill="1"/>
    <xf numFmtId="0" fontId="18" fillId="0" borderId="0" xfId="0" applyFont="1"/>
    <xf numFmtId="165" fontId="18" fillId="33" borderId="0" xfId="0" applyNumberFormat="1" applyFont="1" applyFill="1" applyAlignment="1">
      <alignment horizontal="right"/>
    </xf>
    <xf numFmtId="0" fontId="18" fillId="34" borderId="0" xfId="0" applyFont="1" applyFill="1"/>
    <xf numFmtId="0" fontId="18" fillId="33" borderId="0" xfId="0" applyFont="1" applyFill="1" applyAlignment="1">
      <alignment horizontal="left"/>
    </xf>
    <xf numFmtId="0" fontId="19" fillId="33" borderId="0" xfId="0" applyFont="1" applyFill="1" applyAlignment="1">
      <alignment horizontal="center"/>
    </xf>
    <xf numFmtId="0" fontId="20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pepito@hotmail.com" TargetMode="External"/><Relationship Id="rId1" Type="http://schemas.openxmlformats.org/officeDocument/2006/relationships/hyperlink" Target="mailto:pepito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52"/>
  <sheetViews>
    <sheetView showGridLines="0" tabSelected="1" topLeftCell="R1" workbookViewId="0">
      <selection activeCell="AB8" sqref="AB8:AB152"/>
    </sheetView>
  </sheetViews>
  <sheetFormatPr baseColWidth="10" defaultRowHeight="13"/>
  <cols>
    <col min="1" max="1" width="84" bestFit="1" customWidth="1"/>
    <col min="2" max="2" width="9.1640625" style="2" hidden="1" customWidth="1"/>
    <col min="3" max="3" width="12.6640625" bestFit="1" customWidth="1"/>
    <col min="4" max="4" width="43.6640625" bestFit="1" customWidth="1"/>
    <col min="5" max="5" width="30.5" style="2" bestFit="1" customWidth="1"/>
    <col min="6" max="6" width="29.5" style="2" bestFit="1" customWidth="1"/>
    <col min="7" max="7" width="17" style="2" hidden="1" customWidth="1"/>
    <col min="8" max="8" width="8.6640625" style="2" hidden="1" customWidth="1"/>
    <col min="9" max="9" width="69.5" hidden="1" customWidth="1"/>
    <col min="10" max="10" width="61.33203125" style="2" bestFit="1" customWidth="1"/>
    <col min="11" max="11" width="11" hidden="1" customWidth="1"/>
    <col min="12" max="12" width="124.5" hidden="1" customWidth="1"/>
    <col min="13" max="13" width="14.33203125" style="3" bestFit="1" customWidth="1"/>
    <col min="14" max="14" width="18.5" style="3" bestFit="1" customWidth="1"/>
    <col min="15" max="16" width="13.5" bestFit="1" customWidth="1"/>
    <col min="17" max="17" width="30.5" bestFit="1" customWidth="1"/>
    <col min="18" max="18" width="21.5" bestFit="1" customWidth="1"/>
    <col min="19" max="19" width="10.1640625" style="4" bestFit="1" customWidth="1"/>
    <col min="20" max="20" width="12.33203125" style="4" bestFit="1" customWidth="1"/>
    <col min="21" max="21" width="14.33203125" style="3" bestFit="1" customWidth="1"/>
    <col min="22" max="22" width="15" style="3" bestFit="1" customWidth="1"/>
    <col min="23" max="24" width="14.5" style="3" bestFit="1" customWidth="1"/>
    <col min="25" max="25" width="14.33203125" style="3" bestFit="1" customWidth="1"/>
    <col min="26" max="26" width="14.33203125" bestFit="1" customWidth="1"/>
    <col min="27" max="27" width="16.1640625" bestFit="1" customWidth="1"/>
  </cols>
  <sheetData>
    <row r="1" spans="1:28">
      <c r="A1" s="17" t="s">
        <v>623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5" t="s">
        <v>624</v>
      </c>
    </row>
    <row r="2" spans="1:28" ht="23">
      <c r="A2" s="18" t="s">
        <v>622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</row>
    <row r="3" spans="1:28">
      <c r="A3" s="5"/>
      <c r="B3" s="6"/>
      <c r="C3" s="5"/>
      <c r="D3" s="5"/>
      <c r="E3" s="6"/>
      <c r="F3" s="6"/>
      <c r="G3" s="6"/>
      <c r="H3" s="6"/>
      <c r="I3" s="5"/>
      <c r="J3" s="6"/>
      <c r="K3" s="5"/>
      <c r="L3" s="5"/>
      <c r="M3" s="7"/>
      <c r="N3" s="7"/>
      <c r="O3" s="5"/>
      <c r="P3" s="5"/>
      <c r="Q3" s="5"/>
      <c r="R3" s="5"/>
      <c r="S3" s="8"/>
      <c r="T3" s="8"/>
      <c r="U3" s="7"/>
      <c r="V3" s="7"/>
      <c r="W3" s="7"/>
      <c r="X3" s="7"/>
      <c r="Y3" s="7"/>
    </row>
    <row r="4" spans="1:28">
      <c r="A4" s="5"/>
      <c r="B4" s="6"/>
      <c r="C4" s="5"/>
      <c r="D4" s="5"/>
      <c r="E4" s="6"/>
      <c r="F4" s="6"/>
      <c r="G4" s="6"/>
      <c r="H4" s="6"/>
      <c r="I4" s="5"/>
      <c r="J4" s="6"/>
      <c r="K4" s="5"/>
      <c r="L4" s="5"/>
      <c r="M4" s="7"/>
      <c r="N4" s="7"/>
      <c r="O4" s="5"/>
      <c r="P4" s="5"/>
      <c r="Q4" s="5"/>
      <c r="R4" s="5"/>
      <c r="S4" s="8"/>
      <c r="T4" s="8"/>
      <c r="U4" s="7"/>
      <c r="V4" s="7"/>
      <c r="W4" s="7"/>
      <c r="X4" s="7"/>
      <c r="Y4" s="7"/>
    </row>
    <row r="5" spans="1:28">
      <c r="A5" s="17" t="s">
        <v>621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</row>
    <row r="7" spans="1:28" s="14" customFormat="1">
      <c r="A7" s="9" t="s">
        <v>0</v>
      </c>
      <c r="B7" s="10" t="s">
        <v>1</v>
      </c>
      <c r="C7" s="11" t="s">
        <v>2</v>
      </c>
      <c r="D7" s="9" t="s">
        <v>3</v>
      </c>
      <c r="E7" s="10" t="s">
        <v>4</v>
      </c>
      <c r="F7" s="10" t="s">
        <v>5</v>
      </c>
      <c r="G7" s="10" t="s">
        <v>6</v>
      </c>
      <c r="H7" s="10" t="s">
        <v>7</v>
      </c>
      <c r="I7" s="9" t="s">
        <v>8</v>
      </c>
      <c r="J7" s="10" t="s">
        <v>9</v>
      </c>
      <c r="K7" s="11" t="s">
        <v>10</v>
      </c>
      <c r="L7" s="9" t="s">
        <v>11</v>
      </c>
      <c r="M7" s="12" t="s">
        <v>12</v>
      </c>
      <c r="N7" s="12" t="s">
        <v>13</v>
      </c>
      <c r="O7" s="11" t="s">
        <v>14</v>
      </c>
      <c r="P7" s="11" t="s">
        <v>15</v>
      </c>
      <c r="Q7" s="9" t="s">
        <v>16</v>
      </c>
      <c r="R7" s="9" t="s">
        <v>17</v>
      </c>
      <c r="S7" s="13" t="s">
        <v>18</v>
      </c>
      <c r="T7" s="13" t="s">
        <v>19</v>
      </c>
      <c r="U7" s="12" t="s">
        <v>20</v>
      </c>
      <c r="V7" s="12" t="s">
        <v>21</v>
      </c>
      <c r="W7" s="12" t="s">
        <v>22</v>
      </c>
      <c r="X7" s="12" t="s">
        <v>23</v>
      </c>
      <c r="Y7" s="12" t="s">
        <v>24</v>
      </c>
      <c r="Z7" s="16" t="s">
        <v>625</v>
      </c>
      <c r="AA7" s="16" t="s">
        <v>626</v>
      </c>
      <c r="AB7" s="14" t="s">
        <v>631</v>
      </c>
    </row>
    <row r="8" spans="1:28">
      <c r="A8" t="s">
        <v>25</v>
      </c>
      <c r="B8" s="2">
        <v>0</v>
      </c>
      <c r="C8" s="1" t="s">
        <v>26</v>
      </c>
      <c r="D8" t="s">
        <v>27</v>
      </c>
      <c r="E8" s="2" t="s">
        <v>28</v>
      </c>
      <c r="F8" s="2" t="s">
        <v>29</v>
      </c>
      <c r="G8" s="2">
        <v>444444410</v>
      </c>
      <c r="H8" s="2">
        <v>0</v>
      </c>
      <c r="I8" t="s">
        <v>30</v>
      </c>
      <c r="J8" s="2" t="s">
        <v>31</v>
      </c>
      <c r="K8" s="1" t="s">
        <v>32</v>
      </c>
      <c r="L8" t="s">
        <v>33</v>
      </c>
      <c r="M8" s="3">
        <v>7829604.4000000004</v>
      </c>
      <c r="N8" s="3">
        <v>0</v>
      </c>
      <c r="O8" s="1" t="s">
        <v>34</v>
      </c>
      <c r="P8" s="1" t="s">
        <v>35</v>
      </c>
      <c r="Q8" t="s">
        <v>36</v>
      </c>
      <c r="R8" t="s">
        <v>37</v>
      </c>
      <c r="S8" s="4">
        <v>46013</v>
      </c>
      <c r="T8" s="4">
        <v>46044</v>
      </c>
      <c r="U8" s="3">
        <v>0</v>
      </c>
      <c r="V8" s="3">
        <v>0</v>
      </c>
      <c r="W8" s="3">
        <v>0</v>
      </c>
      <c r="X8" s="3">
        <v>0</v>
      </c>
      <c r="Y8" s="3">
        <v>7829604.4000000004</v>
      </c>
      <c r="Z8" s="3">
        <f>SUM(U8:Y8)</f>
        <v>7829604.4000000004</v>
      </c>
      <c r="AA8" t="s">
        <v>628</v>
      </c>
      <c r="AB8" s="19" t="s">
        <v>632</v>
      </c>
    </row>
    <row r="9" spans="1:28">
      <c r="A9" t="s">
        <v>38</v>
      </c>
      <c r="B9" s="2">
        <v>6</v>
      </c>
      <c r="C9" s="1" t="s">
        <v>26</v>
      </c>
      <c r="D9" t="s">
        <v>27</v>
      </c>
      <c r="E9" s="2" t="s">
        <v>39</v>
      </c>
      <c r="F9" s="2" t="s">
        <v>40</v>
      </c>
      <c r="G9" s="2">
        <v>860002184</v>
      </c>
      <c r="H9" s="2">
        <v>0</v>
      </c>
      <c r="I9" t="s">
        <v>41</v>
      </c>
      <c r="J9" s="2" t="s">
        <v>42</v>
      </c>
      <c r="K9" s="1" t="s">
        <v>43</v>
      </c>
      <c r="L9" t="s">
        <v>44</v>
      </c>
      <c r="M9" s="3">
        <v>55424250</v>
      </c>
      <c r="N9" s="3">
        <v>0</v>
      </c>
      <c r="O9" s="1" t="s">
        <v>45</v>
      </c>
      <c r="P9" s="1" t="s">
        <v>46</v>
      </c>
      <c r="Q9" t="s">
        <v>47</v>
      </c>
      <c r="R9" t="s">
        <v>48</v>
      </c>
      <c r="S9" s="4">
        <v>46028</v>
      </c>
      <c r="T9" s="4">
        <v>46059</v>
      </c>
      <c r="U9" s="3">
        <v>0</v>
      </c>
      <c r="V9" s="3">
        <v>0</v>
      </c>
      <c r="W9" s="3">
        <v>0</v>
      </c>
      <c r="X9" s="3">
        <v>0</v>
      </c>
      <c r="Y9" s="3">
        <v>55424250</v>
      </c>
      <c r="Z9" s="3">
        <f t="shared" ref="Z9:Z72" si="0">SUM(U9:Y9)</f>
        <v>55424250</v>
      </c>
      <c r="AA9" t="s">
        <v>628</v>
      </c>
      <c r="AB9" s="19" t="s">
        <v>632</v>
      </c>
    </row>
    <row r="10" spans="1:28">
      <c r="A10" t="s">
        <v>49</v>
      </c>
      <c r="B10" s="2">
        <v>0</v>
      </c>
      <c r="C10" s="1" t="s">
        <v>26</v>
      </c>
      <c r="D10" t="s">
        <v>27</v>
      </c>
      <c r="E10" s="2" t="s">
        <v>50</v>
      </c>
      <c r="F10" s="2" t="s">
        <v>51</v>
      </c>
      <c r="G10" s="2">
        <v>900548102</v>
      </c>
      <c r="H10" s="2">
        <v>0</v>
      </c>
      <c r="I10" t="s">
        <v>52</v>
      </c>
      <c r="J10" s="2" t="s">
        <v>53</v>
      </c>
      <c r="K10" s="1" t="s">
        <v>54</v>
      </c>
      <c r="L10" t="s">
        <v>55</v>
      </c>
      <c r="M10" s="3">
        <v>15814407.039999999</v>
      </c>
      <c r="N10" s="3">
        <v>6893693.5999999996</v>
      </c>
      <c r="O10" s="1" t="s">
        <v>56</v>
      </c>
      <c r="P10" s="1" t="s">
        <v>57</v>
      </c>
      <c r="Q10" t="s">
        <v>47</v>
      </c>
      <c r="R10" t="s">
        <v>58</v>
      </c>
      <c r="S10" s="4">
        <v>45729</v>
      </c>
      <c r="T10" s="4">
        <v>45760</v>
      </c>
      <c r="U10" s="3">
        <v>0</v>
      </c>
      <c r="V10" s="3">
        <v>6893693.5999999996</v>
      </c>
      <c r="W10" s="3">
        <v>0</v>
      </c>
      <c r="X10" s="3">
        <v>0</v>
      </c>
      <c r="Y10" s="3">
        <v>0</v>
      </c>
      <c r="Z10" s="3">
        <f t="shared" si="0"/>
        <v>6893693.5999999996</v>
      </c>
      <c r="AA10" t="s">
        <v>627</v>
      </c>
      <c r="AB10" s="19" t="s">
        <v>632</v>
      </c>
    </row>
    <row r="11" spans="1:28">
      <c r="A11" t="s">
        <v>49</v>
      </c>
      <c r="B11" s="2">
        <v>0</v>
      </c>
      <c r="C11" s="1" t="s">
        <v>26</v>
      </c>
      <c r="D11" t="s">
        <v>27</v>
      </c>
      <c r="E11" s="2" t="s">
        <v>59</v>
      </c>
      <c r="F11" s="2" t="s">
        <v>60</v>
      </c>
      <c r="G11" s="2">
        <v>900548102</v>
      </c>
      <c r="H11" s="2">
        <v>0</v>
      </c>
      <c r="I11" t="s">
        <v>52</v>
      </c>
      <c r="J11" s="2" t="s">
        <v>53</v>
      </c>
      <c r="K11" s="1" t="s">
        <v>54</v>
      </c>
      <c r="L11" t="s">
        <v>55</v>
      </c>
      <c r="M11" s="3" t="s">
        <v>61</v>
      </c>
      <c r="N11" s="3" t="s">
        <v>61</v>
      </c>
      <c r="O11" s="1" t="s">
        <v>46</v>
      </c>
      <c r="P11" s="1" t="s">
        <v>46</v>
      </c>
      <c r="Q11" t="s">
        <v>62</v>
      </c>
      <c r="R11" t="s">
        <v>63</v>
      </c>
      <c r="S11" s="4">
        <v>46013</v>
      </c>
      <c r="T11" s="4">
        <v>46044</v>
      </c>
      <c r="U11" s="3">
        <v>0</v>
      </c>
      <c r="V11" s="3">
        <v>0</v>
      </c>
      <c r="W11" s="3">
        <v>0</v>
      </c>
      <c r="X11" s="3">
        <v>0</v>
      </c>
      <c r="Y11" s="3">
        <v>8920713.4399999995</v>
      </c>
      <c r="Z11" s="3">
        <f t="shared" si="0"/>
        <v>8920713.4399999995</v>
      </c>
      <c r="AA11" t="s">
        <v>628</v>
      </c>
      <c r="AB11" s="19" t="s">
        <v>632</v>
      </c>
    </row>
    <row r="12" spans="1:28">
      <c r="A12" t="s">
        <v>64</v>
      </c>
      <c r="B12" s="2">
        <v>5</v>
      </c>
      <c r="C12" s="1" t="s">
        <v>26</v>
      </c>
      <c r="D12" t="s">
        <v>27</v>
      </c>
      <c r="E12" s="2" t="s">
        <v>65</v>
      </c>
      <c r="F12" s="2" t="s">
        <v>66</v>
      </c>
      <c r="G12" s="2">
        <v>79517474</v>
      </c>
      <c r="H12" s="2">
        <v>0</v>
      </c>
      <c r="I12" t="s">
        <v>67</v>
      </c>
      <c r="J12" s="2" t="s">
        <v>53</v>
      </c>
      <c r="K12" s="1" t="s">
        <v>54</v>
      </c>
      <c r="L12" t="s">
        <v>55</v>
      </c>
      <c r="M12" s="3">
        <v>144628484.97999999</v>
      </c>
      <c r="N12" s="3">
        <v>144628484.97999999</v>
      </c>
      <c r="O12" s="1" t="s">
        <v>68</v>
      </c>
      <c r="P12" s="1" t="s">
        <v>46</v>
      </c>
      <c r="Q12" t="s">
        <v>47</v>
      </c>
      <c r="R12" t="s">
        <v>69</v>
      </c>
      <c r="S12" s="4">
        <v>45980</v>
      </c>
      <c r="T12" s="4">
        <v>45980</v>
      </c>
      <c r="U12" s="3">
        <v>0</v>
      </c>
      <c r="V12" s="3">
        <v>0</v>
      </c>
      <c r="W12" s="3">
        <v>17742886.91</v>
      </c>
      <c r="X12" s="3">
        <v>0</v>
      </c>
      <c r="Y12" s="3">
        <v>0</v>
      </c>
      <c r="Z12" s="3">
        <f t="shared" si="0"/>
        <v>17742886.91</v>
      </c>
      <c r="AA12" t="s">
        <v>627</v>
      </c>
      <c r="AB12" s="19" t="s">
        <v>632</v>
      </c>
    </row>
    <row r="13" spans="1:28">
      <c r="A13" t="s">
        <v>64</v>
      </c>
      <c r="B13" s="2">
        <v>5</v>
      </c>
      <c r="C13" s="1" t="s">
        <v>26</v>
      </c>
      <c r="D13" t="s">
        <v>27</v>
      </c>
      <c r="E13" s="2" t="s">
        <v>65</v>
      </c>
      <c r="F13" s="2" t="s">
        <v>66</v>
      </c>
      <c r="G13" s="2">
        <v>79517474</v>
      </c>
      <c r="H13" s="2">
        <v>0</v>
      </c>
      <c r="I13" t="s">
        <v>67</v>
      </c>
      <c r="J13" s="2" t="s">
        <v>53</v>
      </c>
      <c r="K13" s="1" t="s">
        <v>54</v>
      </c>
      <c r="L13" t="s">
        <v>55</v>
      </c>
      <c r="M13" s="3" t="s">
        <v>61</v>
      </c>
      <c r="N13" s="3" t="s">
        <v>61</v>
      </c>
      <c r="O13" s="1" t="s">
        <v>46</v>
      </c>
      <c r="P13" s="1" t="s">
        <v>46</v>
      </c>
      <c r="Q13" t="s">
        <v>62</v>
      </c>
      <c r="R13" t="s">
        <v>70</v>
      </c>
      <c r="S13" s="4">
        <v>45980</v>
      </c>
      <c r="T13" s="4">
        <v>45980</v>
      </c>
      <c r="U13" s="3">
        <v>0</v>
      </c>
      <c r="V13" s="3">
        <v>0</v>
      </c>
      <c r="W13" s="3">
        <v>4097656.71</v>
      </c>
      <c r="X13" s="3">
        <v>0</v>
      </c>
      <c r="Y13" s="3">
        <v>0</v>
      </c>
      <c r="Z13" s="3">
        <f t="shared" si="0"/>
        <v>4097656.71</v>
      </c>
      <c r="AA13" t="s">
        <v>627</v>
      </c>
      <c r="AB13" s="19" t="s">
        <v>632</v>
      </c>
    </row>
    <row r="14" spans="1:28">
      <c r="A14" t="s">
        <v>64</v>
      </c>
      <c r="B14" s="2">
        <v>5</v>
      </c>
      <c r="C14" s="1" t="s">
        <v>26</v>
      </c>
      <c r="D14" t="s">
        <v>27</v>
      </c>
      <c r="E14" s="2" t="s">
        <v>65</v>
      </c>
      <c r="F14" s="2" t="s">
        <v>66</v>
      </c>
      <c r="G14" s="2">
        <v>79517474</v>
      </c>
      <c r="H14" s="2">
        <v>0</v>
      </c>
      <c r="I14" t="s">
        <v>67</v>
      </c>
      <c r="J14" s="2" t="s">
        <v>53</v>
      </c>
      <c r="K14" s="1" t="s">
        <v>54</v>
      </c>
      <c r="L14" t="s">
        <v>55</v>
      </c>
      <c r="M14" s="3" t="s">
        <v>61</v>
      </c>
      <c r="N14" s="3" t="s">
        <v>61</v>
      </c>
      <c r="O14" s="1" t="s">
        <v>46</v>
      </c>
      <c r="P14" s="1" t="s">
        <v>46</v>
      </c>
      <c r="Q14" t="s">
        <v>62</v>
      </c>
      <c r="R14" t="s">
        <v>71</v>
      </c>
      <c r="S14" s="4">
        <v>45980</v>
      </c>
      <c r="T14" s="4">
        <v>45980</v>
      </c>
      <c r="U14" s="3">
        <v>0</v>
      </c>
      <c r="V14" s="3">
        <v>0</v>
      </c>
      <c r="W14" s="3">
        <v>9661842.0500000007</v>
      </c>
      <c r="X14" s="3">
        <v>0</v>
      </c>
      <c r="Y14" s="3">
        <v>0</v>
      </c>
      <c r="Z14" s="3">
        <f t="shared" si="0"/>
        <v>9661842.0500000007</v>
      </c>
      <c r="AA14" t="s">
        <v>627</v>
      </c>
      <c r="AB14" s="19" t="s">
        <v>632</v>
      </c>
    </row>
    <row r="15" spans="1:28">
      <c r="A15" t="s">
        <v>64</v>
      </c>
      <c r="B15" s="2">
        <v>5</v>
      </c>
      <c r="C15" s="1" t="s">
        <v>26</v>
      </c>
      <c r="D15" t="s">
        <v>27</v>
      </c>
      <c r="E15" s="2" t="s">
        <v>65</v>
      </c>
      <c r="F15" s="2" t="s">
        <v>66</v>
      </c>
      <c r="G15" s="2">
        <v>79517474</v>
      </c>
      <c r="H15" s="2">
        <v>0</v>
      </c>
      <c r="I15" t="s">
        <v>67</v>
      </c>
      <c r="J15" s="2" t="s">
        <v>53</v>
      </c>
      <c r="K15" s="1" t="s">
        <v>54</v>
      </c>
      <c r="L15" t="s">
        <v>55</v>
      </c>
      <c r="M15" s="3" t="s">
        <v>61</v>
      </c>
      <c r="N15" s="3" t="s">
        <v>61</v>
      </c>
      <c r="O15" s="1" t="s">
        <v>46</v>
      </c>
      <c r="P15" s="1" t="s">
        <v>46</v>
      </c>
      <c r="Q15" t="s">
        <v>62</v>
      </c>
      <c r="R15" t="s">
        <v>72</v>
      </c>
      <c r="S15" s="4">
        <v>45980</v>
      </c>
      <c r="T15" s="4">
        <v>45980</v>
      </c>
      <c r="U15" s="3">
        <v>0</v>
      </c>
      <c r="V15" s="3">
        <v>0</v>
      </c>
      <c r="W15" s="3">
        <v>113126099.31</v>
      </c>
      <c r="X15" s="3">
        <v>0</v>
      </c>
      <c r="Y15" s="3">
        <v>0</v>
      </c>
      <c r="Z15" s="3">
        <f t="shared" si="0"/>
        <v>113126099.31</v>
      </c>
      <c r="AA15" t="s">
        <v>627</v>
      </c>
      <c r="AB15" s="19" t="s">
        <v>632</v>
      </c>
    </row>
    <row r="16" spans="1:28">
      <c r="A16" t="s">
        <v>73</v>
      </c>
      <c r="B16" s="2">
        <v>1</v>
      </c>
      <c r="C16" s="1" t="s">
        <v>26</v>
      </c>
      <c r="D16" t="s">
        <v>27</v>
      </c>
      <c r="E16" s="2" t="s">
        <v>74</v>
      </c>
      <c r="F16" s="2" t="s">
        <v>75</v>
      </c>
      <c r="G16" s="2">
        <v>901559591</v>
      </c>
      <c r="H16" s="2">
        <v>0</v>
      </c>
      <c r="I16" t="s">
        <v>76</v>
      </c>
      <c r="J16" s="2" t="s">
        <v>77</v>
      </c>
      <c r="K16" s="1" t="s">
        <v>78</v>
      </c>
      <c r="L16" t="s">
        <v>79</v>
      </c>
      <c r="M16" s="3">
        <v>9117559.9600000009</v>
      </c>
      <c r="N16" s="3">
        <v>9117559.9600000009</v>
      </c>
      <c r="O16" s="1" t="s">
        <v>80</v>
      </c>
      <c r="P16" s="1" t="s">
        <v>46</v>
      </c>
      <c r="Q16" t="s">
        <v>81</v>
      </c>
      <c r="R16" t="s">
        <v>82</v>
      </c>
      <c r="S16" s="4">
        <v>44994</v>
      </c>
      <c r="T16" s="4">
        <v>45025</v>
      </c>
      <c r="U16" s="3">
        <v>2279389.9900000002</v>
      </c>
      <c r="V16" s="3">
        <v>0</v>
      </c>
      <c r="W16" s="3">
        <v>0</v>
      </c>
      <c r="X16" s="3">
        <v>0</v>
      </c>
      <c r="Y16" s="3">
        <v>0</v>
      </c>
      <c r="Z16" s="3">
        <f t="shared" si="0"/>
        <v>2279389.9900000002</v>
      </c>
      <c r="AA16" t="s">
        <v>629</v>
      </c>
      <c r="AB16" s="19" t="s">
        <v>632</v>
      </c>
    </row>
    <row r="17" spans="1:28">
      <c r="A17" t="s">
        <v>73</v>
      </c>
      <c r="B17" s="2">
        <v>1</v>
      </c>
      <c r="C17" s="1" t="s">
        <v>26</v>
      </c>
      <c r="D17" t="s">
        <v>27</v>
      </c>
      <c r="E17" s="2" t="s">
        <v>74</v>
      </c>
      <c r="F17" s="2" t="s">
        <v>83</v>
      </c>
      <c r="G17" s="2">
        <v>901559591</v>
      </c>
      <c r="H17" s="2">
        <v>0</v>
      </c>
      <c r="I17" t="s">
        <v>76</v>
      </c>
      <c r="J17" s="2" t="s">
        <v>77</v>
      </c>
      <c r="K17" s="1" t="s">
        <v>78</v>
      </c>
      <c r="L17" t="s">
        <v>79</v>
      </c>
      <c r="M17" s="3" t="s">
        <v>61</v>
      </c>
      <c r="N17" s="3" t="s">
        <v>61</v>
      </c>
      <c r="O17" s="1" t="s">
        <v>46</v>
      </c>
      <c r="P17" s="1" t="s">
        <v>46</v>
      </c>
      <c r="Q17" t="s">
        <v>62</v>
      </c>
      <c r="R17" t="s">
        <v>84</v>
      </c>
      <c r="S17" s="4">
        <v>45036</v>
      </c>
      <c r="T17" s="4">
        <v>45066</v>
      </c>
      <c r="U17" s="3">
        <v>2279389.9900000002</v>
      </c>
      <c r="V17" s="3">
        <v>0</v>
      </c>
      <c r="W17" s="3">
        <v>0</v>
      </c>
      <c r="X17" s="3">
        <v>0</v>
      </c>
      <c r="Y17" s="3">
        <v>0</v>
      </c>
      <c r="Z17" s="3">
        <f t="shared" si="0"/>
        <v>2279389.9900000002</v>
      </c>
      <c r="AA17" t="s">
        <v>629</v>
      </c>
      <c r="AB17" s="19" t="s">
        <v>632</v>
      </c>
    </row>
    <row r="18" spans="1:28">
      <c r="A18" t="s">
        <v>73</v>
      </c>
      <c r="B18" s="2">
        <v>1</v>
      </c>
      <c r="C18" s="1" t="s">
        <v>26</v>
      </c>
      <c r="D18" t="s">
        <v>27</v>
      </c>
      <c r="E18" s="2" t="s">
        <v>74</v>
      </c>
      <c r="F18" s="2" t="s">
        <v>85</v>
      </c>
      <c r="G18" s="2">
        <v>901559591</v>
      </c>
      <c r="H18" s="2">
        <v>0</v>
      </c>
      <c r="I18" t="s">
        <v>76</v>
      </c>
      <c r="J18" s="2" t="s">
        <v>77</v>
      </c>
      <c r="K18" s="1" t="s">
        <v>78</v>
      </c>
      <c r="L18" t="s">
        <v>79</v>
      </c>
      <c r="M18" s="3" t="s">
        <v>61</v>
      </c>
      <c r="N18" s="3" t="s">
        <v>61</v>
      </c>
      <c r="O18" s="1" t="s">
        <v>46</v>
      </c>
      <c r="P18" s="1" t="s">
        <v>46</v>
      </c>
      <c r="Q18" t="s">
        <v>62</v>
      </c>
      <c r="R18" t="s">
        <v>86</v>
      </c>
      <c r="S18" s="4">
        <v>45058</v>
      </c>
      <c r="T18" s="4">
        <v>45089</v>
      </c>
      <c r="U18" s="3">
        <v>2279389.9900000002</v>
      </c>
      <c r="V18" s="3">
        <v>0</v>
      </c>
      <c r="W18" s="3">
        <v>0</v>
      </c>
      <c r="X18" s="3">
        <v>0</v>
      </c>
      <c r="Y18" s="3">
        <v>0</v>
      </c>
      <c r="Z18" s="3">
        <f t="shared" si="0"/>
        <v>2279389.9900000002</v>
      </c>
      <c r="AA18" t="s">
        <v>629</v>
      </c>
      <c r="AB18" s="19" t="s">
        <v>632</v>
      </c>
    </row>
    <row r="19" spans="1:28">
      <c r="A19" t="s">
        <v>73</v>
      </c>
      <c r="B19" s="2">
        <v>1</v>
      </c>
      <c r="C19" s="1" t="s">
        <v>26</v>
      </c>
      <c r="D19" t="s">
        <v>27</v>
      </c>
      <c r="E19" s="2" t="s">
        <v>74</v>
      </c>
      <c r="F19" s="2" t="s">
        <v>87</v>
      </c>
      <c r="G19" s="2">
        <v>901559591</v>
      </c>
      <c r="H19" s="2">
        <v>0</v>
      </c>
      <c r="I19" t="s">
        <v>76</v>
      </c>
      <c r="J19" s="2" t="s">
        <v>77</v>
      </c>
      <c r="K19" s="1" t="s">
        <v>78</v>
      </c>
      <c r="L19" t="s">
        <v>79</v>
      </c>
      <c r="M19" s="3" t="s">
        <v>61</v>
      </c>
      <c r="N19" s="3" t="s">
        <v>61</v>
      </c>
      <c r="O19" s="1" t="s">
        <v>46</v>
      </c>
      <c r="P19" s="1" t="s">
        <v>46</v>
      </c>
      <c r="Q19" t="s">
        <v>62</v>
      </c>
      <c r="R19" t="s">
        <v>88</v>
      </c>
      <c r="S19" s="4">
        <v>45099</v>
      </c>
      <c r="T19" s="4">
        <v>45129</v>
      </c>
      <c r="U19" s="3">
        <v>2279389.9900000002</v>
      </c>
      <c r="V19" s="3">
        <v>0</v>
      </c>
      <c r="W19" s="3">
        <v>0</v>
      </c>
      <c r="X19" s="3">
        <v>0</v>
      </c>
      <c r="Y19" s="3">
        <v>0</v>
      </c>
      <c r="Z19" s="3">
        <f t="shared" si="0"/>
        <v>2279389.9900000002</v>
      </c>
      <c r="AA19" t="s">
        <v>629</v>
      </c>
      <c r="AB19" s="19" t="s">
        <v>632</v>
      </c>
    </row>
    <row r="20" spans="1:28">
      <c r="A20" t="s">
        <v>89</v>
      </c>
      <c r="B20" s="2">
        <v>1</v>
      </c>
      <c r="C20" s="1" t="s">
        <v>26</v>
      </c>
      <c r="D20" t="s">
        <v>27</v>
      </c>
      <c r="E20" s="2" t="s">
        <v>90</v>
      </c>
      <c r="F20" s="2" t="s">
        <v>91</v>
      </c>
      <c r="G20" s="2">
        <v>860007336</v>
      </c>
      <c r="H20" s="2">
        <v>1</v>
      </c>
      <c r="I20" t="s">
        <v>92</v>
      </c>
      <c r="J20" s="2" t="s">
        <v>93</v>
      </c>
      <c r="K20" s="1" t="s">
        <v>94</v>
      </c>
      <c r="L20" t="s">
        <v>95</v>
      </c>
      <c r="M20" s="3">
        <v>20921392</v>
      </c>
      <c r="N20" s="3">
        <v>0</v>
      </c>
      <c r="O20" s="1" t="s">
        <v>96</v>
      </c>
      <c r="P20" s="1" t="s">
        <v>46</v>
      </c>
      <c r="Q20" t="s">
        <v>47</v>
      </c>
      <c r="R20" t="s">
        <v>97</v>
      </c>
      <c r="S20" s="4">
        <v>46017</v>
      </c>
      <c r="T20" s="4">
        <v>46048</v>
      </c>
      <c r="U20" s="3">
        <v>0</v>
      </c>
      <c r="V20" s="3">
        <v>0</v>
      </c>
      <c r="W20" s="3">
        <v>0</v>
      </c>
      <c r="X20" s="3">
        <v>0</v>
      </c>
      <c r="Y20" s="3">
        <v>20921392</v>
      </c>
      <c r="Z20" s="3">
        <f t="shared" si="0"/>
        <v>20921392</v>
      </c>
      <c r="AA20" t="s">
        <v>628</v>
      </c>
      <c r="AB20" s="19" t="s">
        <v>632</v>
      </c>
    </row>
    <row r="21" spans="1:28">
      <c r="A21" t="s">
        <v>98</v>
      </c>
      <c r="B21" s="2">
        <v>7</v>
      </c>
      <c r="C21" s="1" t="s">
        <v>99</v>
      </c>
      <c r="D21" t="s">
        <v>3</v>
      </c>
      <c r="E21" s="2" t="s">
        <v>100</v>
      </c>
      <c r="F21" s="2" t="s">
        <v>101</v>
      </c>
      <c r="G21" s="2">
        <v>860066942</v>
      </c>
      <c r="H21" s="2">
        <v>1</v>
      </c>
      <c r="I21" t="s">
        <v>102</v>
      </c>
      <c r="J21" s="2" t="s">
        <v>103</v>
      </c>
      <c r="K21" s="1" t="s">
        <v>104</v>
      </c>
      <c r="L21" t="s">
        <v>105</v>
      </c>
      <c r="M21" s="3">
        <v>35958719.280000001</v>
      </c>
      <c r="N21" s="3">
        <v>35958719.280000001</v>
      </c>
      <c r="O21" s="1" t="s">
        <v>106</v>
      </c>
      <c r="P21" s="1" t="s">
        <v>107</v>
      </c>
      <c r="Q21" t="s">
        <v>47</v>
      </c>
      <c r="R21" t="s">
        <v>108</v>
      </c>
      <c r="S21" s="4">
        <v>46022</v>
      </c>
      <c r="T21" s="4">
        <v>46022</v>
      </c>
      <c r="U21" s="3">
        <v>0</v>
      </c>
      <c r="V21" s="3">
        <v>0</v>
      </c>
      <c r="W21" s="3">
        <v>0</v>
      </c>
      <c r="X21" s="3">
        <v>0</v>
      </c>
      <c r="Y21" s="3">
        <v>35958719.280000001</v>
      </c>
      <c r="Z21" s="3">
        <f t="shared" si="0"/>
        <v>35958719.280000001</v>
      </c>
      <c r="AA21" t="s">
        <v>627</v>
      </c>
      <c r="AB21" s="19" t="s">
        <v>632</v>
      </c>
    </row>
    <row r="22" spans="1:28">
      <c r="A22" t="s">
        <v>109</v>
      </c>
      <c r="B22" s="2">
        <v>2</v>
      </c>
      <c r="C22" s="1" t="s">
        <v>26</v>
      </c>
      <c r="D22" t="s">
        <v>27</v>
      </c>
      <c r="E22" s="2" t="s">
        <v>110</v>
      </c>
      <c r="F22" s="2" t="s">
        <v>111</v>
      </c>
      <c r="G22" s="2">
        <v>901535489</v>
      </c>
      <c r="H22" s="2">
        <v>0</v>
      </c>
      <c r="I22" t="s">
        <v>112</v>
      </c>
      <c r="J22" s="2" t="s">
        <v>113</v>
      </c>
      <c r="K22" s="1" t="s">
        <v>114</v>
      </c>
      <c r="L22" t="s">
        <v>115</v>
      </c>
      <c r="M22" s="3">
        <v>80500000</v>
      </c>
      <c r="N22" s="3">
        <v>0</v>
      </c>
      <c r="O22" s="1" t="s">
        <v>116</v>
      </c>
      <c r="P22" s="1" t="s">
        <v>46</v>
      </c>
      <c r="Q22" t="s">
        <v>117</v>
      </c>
      <c r="R22" t="s">
        <v>118</v>
      </c>
      <c r="S22" s="4">
        <v>46038</v>
      </c>
      <c r="T22" s="4">
        <v>46069</v>
      </c>
      <c r="U22" s="3">
        <v>0</v>
      </c>
      <c r="V22" s="3">
        <v>0</v>
      </c>
      <c r="W22" s="3">
        <v>0</v>
      </c>
      <c r="X22" s="3">
        <v>0</v>
      </c>
      <c r="Y22" s="3">
        <v>80500000</v>
      </c>
      <c r="Z22" s="3">
        <f t="shared" si="0"/>
        <v>80500000</v>
      </c>
      <c r="AA22" t="s">
        <v>628</v>
      </c>
      <c r="AB22" s="19" t="s">
        <v>632</v>
      </c>
    </row>
    <row r="23" spans="1:28">
      <c r="A23" t="s">
        <v>119</v>
      </c>
      <c r="B23" s="2">
        <v>7</v>
      </c>
      <c r="C23" s="1" t="s">
        <v>26</v>
      </c>
      <c r="D23" t="s">
        <v>27</v>
      </c>
      <c r="E23" s="2" t="s">
        <v>120</v>
      </c>
      <c r="F23" s="2" t="s">
        <v>121</v>
      </c>
      <c r="G23" s="2">
        <v>900518245</v>
      </c>
      <c r="H23" s="2">
        <v>0</v>
      </c>
      <c r="I23" t="s">
        <v>122</v>
      </c>
      <c r="J23" s="2" t="s">
        <v>77</v>
      </c>
      <c r="K23" s="1" t="s">
        <v>78</v>
      </c>
      <c r="L23" t="s">
        <v>79</v>
      </c>
      <c r="M23" s="3">
        <v>227584.03</v>
      </c>
      <c r="N23" s="3">
        <v>0</v>
      </c>
      <c r="O23" s="1" t="s">
        <v>123</v>
      </c>
      <c r="P23" s="1" t="s">
        <v>124</v>
      </c>
      <c r="Q23" t="s">
        <v>47</v>
      </c>
      <c r="R23" t="s">
        <v>125</v>
      </c>
      <c r="S23" s="4">
        <v>46038</v>
      </c>
      <c r="T23" s="4">
        <v>46069</v>
      </c>
      <c r="U23" s="3">
        <v>0</v>
      </c>
      <c r="V23" s="3">
        <v>0</v>
      </c>
      <c r="W23" s="3">
        <v>0</v>
      </c>
      <c r="X23" s="3">
        <v>0</v>
      </c>
      <c r="Y23" s="3">
        <v>227584.03</v>
      </c>
      <c r="Z23" s="3">
        <f t="shared" si="0"/>
        <v>227584.03</v>
      </c>
      <c r="AA23" t="s">
        <v>628</v>
      </c>
      <c r="AB23" s="19" t="s">
        <v>632</v>
      </c>
    </row>
    <row r="24" spans="1:28">
      <c r="A24" t="s">
        <v>126</v>
      </c>
      <c r="B24" s="2">
        <v>1</v>
      </c>
      <c r="C24" s="1" t="s">
        <v>26</v>
      </c>
      <c r="D24" t="s">
        <v>27</v>
      </c>
      <c r="E24" s="2" t="s">
        <v>127</v>
      </c>
      <c r="F24" s="2" t="s">
        <v>128</v>
      </c>
      <c r="G24" s="2">
        <v>901078978</v>
      </c>
      <c r="H24" s="2">
        <v>0</v>
      </c>
      <c r="I24" t="s">
        <v>129</v>
      </c>
      <c r="J24" s="2" t="s">
        <v>53</v>
      </c>
      <c r="K24" s="1" t="s">
        <v>54</v>
      </c>
      <c r="L24" t="s">
        <v>55</v>
      </c>
      <c r="M24" s="3">
        <v>970139</v>
      </c>
      <c r="N24" s="3">
        <v>0</v>
      </c>
      <c r="O24" s="1" t="s">
        <v>130</v>
      </c>
      <c r="P24" s="1" t="s">
        <v>131</v>
      </c>
      <c r="Q24" t="s">
        <v>47</v>
      </c>
      <c r="R24" t="s">
        <v>132</v>
      </c>
      <c r="S24" s="4">
        <v>46010</v>
      </c>
      <c r="T24" s="4">
        <v>46041</v>
      </c>
      <c r="U24" s="3">
        <v>0</v>
      </c>
      <c r="V24" s="3">
        <v>0</v>
      </c>
      <c r="W24" s="3">
        <v>0</v>
      </c>
      <c r="X24" s="3">
        <v>0</v>
      </c>
      <c r="Y24" s="3">
        <v>970139</v>
      </c>
      <c r="Z24" s="3">
        <f t="shared" si="0"/>
        <v>970139</v>
      </c>
      <c r="AA24" t="s">
        <v>628</v>
      </c>
      <c r="AB24" s="19" t="s">
        <v>632</v>
      </c>
    </row>
    <row r="25" spans="1:28">
      <c r="A25" t="s">
        <v>133</v>
      </c>
      <c r="B25" s="2">
        <v>3</v>
      </c>
      <c r="C25" s="1" t="s">
        <v>26</v>
      </c>
      <c r="D25" t="s">
        <v>27</v>
      </c>
      <c r="E25" s="2" t="s">
        <v>134</v>
      </c>
      <c r="F25" s="2" t="s">
        <v>135</v>
      </c>
      <c r="G25" s="2">
        <v>900531210</v>
      </c>
      <c r="H25" s="2">
        <v>0</v>
      </c>
      <c r="I25" t="s">
        <v>136</v>
      </c>
      <c r="J25" s="2" t="s">
        <v>137</v>
      </c>
      <c r="K25" s="1" t="s">
        <v>138</v>
      </c>
      <c r="L25" t="s">
        <v>139</v>
      </c>
      <c r="M25" s="3">
        <v>19194264.32</v>
      </c>
      <c r="N25" s="3">
        <v>0</v>
      </c>
      <c r="O25" s="1" t="s">
        <v>140</v>
      </c>
      <c r="P25" s="1" t="s">
        <v>46</v>
      </c>
      <c r="Q25" t="s">
        <v>47</v>
      </c>
      <c r="R25" t="s">
        <v>141</v>
      </c>
      <c r="S25" s="4">
        <v>46014</v>
      </c>
      <c r="T25" s="4">
        <v>46045</v>
      </c>
      <c r="U25" s="3">
        <v>0</v>
      </c>
      <c r="V25" s="3">
        <v>0</v>
      </c>
      <c r="W25" s="3">
        <v>0</v>
      </c>
      <c r="X25" s="3">
        <v>0</v>
      </c>
      <c r="Y25" s="3">
        <v>19194264.32</v>
      </c>
      <c r="Z25" s="3">
        <f t="shared" si="0"/>
        <v>19194264.32</v>
      </c>
      <c r="AA25" t="s">
        <v>628</v>
      </c>
      <c r="AB25" s="19" t="s">
        <v>632</v>
      </c>
    </row>
    <row r="26" spans="1:28">
      <c r="A26" t="s">
        <v>142</v>
      </c>
      <c r="B26" s="2">
        <v>1</v>
      </c>
      <c r="C26" s="1" t="s">
        <v>26</v>
      </c>
      <c r="D26" t="s">
        <v>27</v>
      </c>
      <c r="E26" s="2" t="s">
        <v>143</v>
      </c>
      <c r="F26" s="2" t="s">
        <v>144</v>
      </c>
      <c r="G26" s="2">
        <v>900261398</v>
      </c>
      <c r="H26" s="2">
        <v>0</v>
      </c>
      <c r="I26" t="s">
        <v>145</v>
      </c>
      <c r="J26" s="2" t="s">
        <v>53</v>
      </c>
      <c r="K26" s="1" t="s">
        <v>54</v>
      </c>
      <c r="L26" t="s">
        <v>55</v>
      </c>
      <c r="M26" s="3">
        <v>636030</v>
      </c>
      <c r="N26" s="3">
        <v>0</v>
      </c>
      <c r="O26" s="1" t="s">
        <v>146</v>
      </c>
      <c r="P26" s="1" t="s">
        <v>46</v>
      </c>
      <c r="Q26" t="s">
        <v>117</v>
      </c>
      <c r="R26" t="s">
        <v>147</v>
      </c>
      <c r="S26" s="4">
        <v>46001</v>
      </c>
      <c r="T26" s="4">
        <v>46041</v>
      </c>
      <c r="U26" s="3">
        <v>0</v>
      </c>
      <c r="V26" s="3">
        <v>0</v>
      </c>
      <c r="W26" s="3">
        <v>0</v>
      </c>
      <c r="X26" s="3">
        <v>0</v>
      </c>
      <c r="Y26" s="3">
        <v>636030</v>
      </c>
      <c r="Z26" s="3">
        <f t="shared" si="0"/>
        <v>636030</v>
      </c>
      <c r="AA26" t="s">
        <v>628</v>
      </c>
      <c r="AB26" s="19" t="s">
        <v>632</v>
      </c>
    </row>
    <row r="27" spans="1:28">
      <c r="A27" t="s">
        <v>148</v>
      </c>
      <c r="B27" s="2">
        <v>2</v>
      </c>
      <c r="C27" s="1" t="s">
        <v>26</v>
      </c>
      <c r="D27" t="s">
        <v>27</v>
      </c>
      <c r="E27" s="2" t="s">
        <v>149</v>
      </c>
      <c r="F27" s="2" t="s">
        <v>150</v>
      </c>
      <c r="G27" s="2">
        <v>900358225</v>
      </c>
      <c r="H27" s="2">
        <v>0</v>
      </c>
      <c r="I27" t="s">
        <v>151</v>
      </c>
      <c r="J27" s="2" t="s">
        <v>53</v>
      </c>
      <c r="K27" s="1" t="s">
        <v>54</v>
      </c>
      <c r="L27" t="s">
        <v>55</v>
      </c>
      <c r="M27" s="3">
        <v>43792000</v>
      </c>
      <c r="N27" s="3">
        <v>43792000</v>
      </c>
      <c r="O27" s="1" t="s">
        <v>152</v>
      </c>
      <c r="P27" s="1" t="s">
        <v>46</v>
      </c>
      <c r="Q27" t="s">
        <v>47</v>
      </c>
      <c r="R27" t="s">
        <v>153</v>
      </c>
      <c r="S27" s="4">
        <v>45001</v>
      </c>
      <c r="T27" s="4">
        <v>45032</v>
      </c>
      <c r="U27" s="3">
        <v>43792000</v>
      </c>
      <c r="V27" s="3">
        <v>0</v>
      </c>
      <c r="W27" s="3">
        <v>0</v>
      </c>
      <c r="X27" s="3">
        <v>0</v>
      </c>
      <c r="Y27" s="3">
        <v>0</v>
      </c>
      <c r="Z27" s="3">
        <f t="shared" si="0"/>
        <v>43792000</v>
      </c>
      <c r="AA27" t="s">
        <v>630</v>
      </c>
      <c r="AB27" s="19" t="s">
        <v>632</v>
      </c>
    </row>
    <row r="28" spans="1:28">
      <c r="A28" t="s">
        <v>154</v>
      </c>
      <c r="B28" s="2">
        <v>0</v>
      </c>
      <c r="C28" s="1" t="s">
        <v>26</v>
      </c>
      <c r="D28" t="s">
        <v>27</v>
      </c>
      <c r="E28" s="2" t="s">
        <v>155</v>
      </c>
      <c r="F28" s="2" t="s">
        <v>156</v>
      </c>
      <c r="G28" s="2">
        <v>830501248</v>
      </c>
      <c r="H28" s="2">
        <v>0</v>
      </c>
      <c r="I28" t="s">
        <v>157</v>
      </c>
      <c r="J28" s="2" t="s">
        <v>53</v>
      </c>
      <c r="K28" s="1" t="s">
        <v>54</v>
      </c>
      <c r="L28" t="s">
        <v>55</v>
      </c>
      <c r="M28" s="3">
        <v>6037500</v>
      </c>
      <c r="N28" s="3">
        <v>6037500</v>
      </c>
      <c r="O28" s="1" t="s">
        <v>158</v>
      </c>
      <c r="P28" s="1" t="s">
        <v>159</v>
      </c>
      <c r="Q28" t="s">
        <v>160</v>
      </c>
      <c r="R28" t="s">
        <v>161</v>
      </c>
      <c r="S28" s="4">
        <v>45440</v>
      </c>
      <c r="T28" s="4">
        <v>45471</v>
      </c>
      <c r="U28" s="3">
        <v>1725000</v>
      </c>
      <c r="V28" s="3">
        <v>0</v>
      </c>
      <c r="W28" s="3">
        <v>0</v>
      </c>
      <c r="X28" s="3">
        <v>0</v>
      </c>
      <c r="Y28" s="3">
        <v>0</v>
      </c>
      <c r="Z28" s="3">
        <f t="shared" si="0"/>
        <v>1725000</v>
      </c>
      <c r="AA28" t="s">
        <v>629</v>
      </c>
      <c r="AB28" s="19" t="s">
        <v>632</v>
      </c>
    </row>
    <row r="29" spans="1:28">
      <c r="A29" t="s">
        <v>154</v>
      </c>
      <c r="B29" s="2">
        <v>0</v>
      </c>
      <c r="C29" s="1" t="s">
        <v>26</v>
      </c>
      <c r="D29" t="s">
        <v>27</v>
      </c>
      <c r="E29" s="2" t="s">
        <v>155</v>
      </c>
      <c r="F29" s="2" t="s">
        <v>156</v>
      </c>
      <c r="G29" s="2">
        <v>830501248</v>
      </c>
      <c r="H29" s="2">
        <v>0</v>
      </c>
      <c r="I29" t="s">
        <v>157</v>
      </c>
      <c r="J29" s="2" t="s">
        <v>53</v>
      </c>
      <c r="K29" s="1" t="s">
        <v>54</v>
      </c>
      <c r="L29" t="s">
        <v>55</v>
      </c>
      <c r="M29" s="3" t="s">
        <v>61</v>
      </c>
      <c r="N29" s="3" t="s">
        <v>61</v>
      </c>
      <c r="O29" s="1" t="s">
        <v>46</v>
      </c>
      <c r="P29" s="1" t="s">
        <v>46</v>
      </c>
      <c r="Q29" t="s">
        <v>62</v>
      </c>
      <c r="R29" t="s">
        <v>162</v>
      </c>
      <c r="S29" s="4">
        <v>45450</v>
      </c>
      <c r="T29" s="4">
        <v>45480</v>
      </c>
      <c r="U29" s="3">
        <v>862500</v>
      </c>
      <c r="V29" s="3">
        <v>0</v>
      </c>
      <c r="W29" s="3">
        <v>0</v>
      </c>
      <c r="X29" s="3">
        <v>0</v>
      </c>
      <c r="Y29" s="3">
        <v>0</v>
      </c>
      <c r="Z29" s="3">
        <f t="shared" si="0"/>
        <v>862500</v>
      </c>
      <c r="AA29" t="s">
        <v>629</v>
      </c>
      <c r="AB29" s="19" t="s">
        <v>632</v>
      </c>
    </row>
    <row r="30" spans="1:28">
      <c r="A30" t="s">
        <v>154</v>
      </c>
      <c r="B30" s="2">
        <v>0</v>
      </c>
      <c r="C30" s="1" t="s">
        <v>26</v>
      </c>
      <c r="D30" t="s">
        <v>27</v>
      </c>
      <c r="E30" s="2" t="s">
        <v>155</v>
      </c>
      <c r="F30" s="2" t="s">
        <v>156</v>
      </c>
      <c r="G30" s="2">
        <v>830501248</v>
      </c>
      <c r="H30" s="2">
        <v>0</v>
      </c>
      <c r="I30" t="s">
        <v>157</v>
      </c>
      <c r="J30" s="2" t="s">
        <v>53</v>
      </c>
      <c r="K30" s="1" t="s">
        <v>54</v>
      </c>
      <c r="L30" t="s">
        <v>55</v>
      </c>
      <c r="M30" s="3" t="s">
        <v>61</v>
      </c>
      <c r="N30" s="3" t="s">
        <v>61</v>
      </c>
      <c r="O30" s="1" t="s">
        <v>46</v>
      </c>
      <c r="P30" s="1" t="s">
        <v>46</v>
      </c>
      <c r="Q30" t="s">
        <v>62</v>
      </c>
      <c r="R30" t="s">
        <v>163</v>
      </c>
      <c r="S30" s="4">
        <v>45478</v>
      </c>
      <c r="T30" s="4">
        <v>45509</v>
      </c>
      <c r="U30" s="3">
        <v>862500</v>
      </c>
      <c r="V30" s="3">
        <v>0</v>
      </c>
      <c r="W30" s="3">
        <v>0</v>
      </c>
      <c r="X30" s="3">
        <v>0</v>
      </c>
      <c r="Y30" s="3">
        <v>0</v>
      </c>
      <c r="Z30" s="3">
        <f t="shared" si="0"/>
        <v>862500</v>
      </c>
      <c r="AA30" t="s">
        <v>629</v>
      </c>
      <c r="AB30" s="19" t="s">
        <v>632</v>
      </c>
    </row>
    <row r="31" spans="1:28">
      <c r="A31" t="s">
        <v>154</v>
      </c>
      <c r="B31" s="2">
        <v>0</v>
      </c>
      <c r="C31" s="1" t="s">
        <v>26</v>
      </c>
      <c r="D31" t="s">
        <v>27</v>
      </c>
      <c r="E31" s="2" t="s">
        <v>155</v>
      </c>
      <c r="F31" s="2" t="s">
        <v>156</v>
      </c>
      <c r="G31" s="2">
        <v>830501248</v>
      </c>
      <c r="H31" s="2">
        <v>0</v>
      </c>
      <c r="I31" t="s">
        <v>157</v>
      </c>
      <c r="J31" s="2" t="s">
        <v>53</v>
      </c>
      <c r="K31" s="1" t="s">
        <v>54</v>
      </c>
      <c r="L31" t="s">
        <v>55</v>
      </c>
      <c r="M31" s="3" t="s">
        <v>61</v>
      </c>
      <c r="N31" s="3" t="s">
        <v>61</v>
      </c>
      <c r="O31" s="1" t="s">
        <v>46</v>
      </c>
      <c r="P31" s="1" t="s">
        <v>46</v>
      </c>
      <c r="Q31" t="s">
        <v>62</v>
      </c>
      <c r="R31" t="s">
        <v>164</v>
      </c>
      <c r="S31" s="4">
        <v>45518</v>
      </c>
      <c r="T31" s="4">
        <v>45560</v>
      </c>
      <c r="U31" s="3">
        <v>862500</v>
      </c>
      <c r="V31" s="3">
        <v>0</v>
      </c>
      <c r="W31" s="3">
        <v>0</v>
      </c>
      <c r="X31" s="3">
        <v>0</v>
      </c>
      <c r="Y31" s="3">
        <v>0</v>
      </c>
      <c r="Z31" s="3">
        <f t="shared" si="0"/>
        <v>862500</v>
      </c>
      <c r="AA31" t="s">
        <v>629</v>
      </c>
      <c r="AB31" s="19" t="s">
        <v>632</v>
      </c>
    </row>
    <row r="32" spans="1:28">
      <c r="A32" t="s">
        <v>154</v>
      </c>
      <c r="B32" s="2">
        <v>0</v>
      </c>
      <c r="C32" s="1" t="s">
        <v>26</v>
      </c>
      <c r="D32" t="s">
        <v>27</v>
      </c>
      <c r="E32" s="2" t="s">
        <v>155</v>
      </c>
      <c r="F32" s="2" t="s">
        <v>156</v>
      </c>
      <c r="G32" s="2">
        <v>830501248</v>
      </c>
      <c r="H32" s="2">
        <v>0</v>
      </c>
      <c r="I32" t="s">
        <v>157</v>
      </c>
      <c r="J32" s="2" t="s">
        <v>53</v>
      </c>
      <c r="K32" s="1" t="s">
        <v>54</v>
      </c>
      <c r="L32" t="s">
        <v>55</v>
      </c>
      <c r="M32" s="3" t="s">
        <v>61</v>
      </c>
      <c r="N32" s="3" t="s">
        <v>61</v>
      </c>
      <c r="O32" s="1" t="s">
        <v>46</v>
      </c>
      <c r="P32" s="1" t="s">
        <v>46</v>
      </c>
      <c r="Q32" t="s">
        <v>62</v>
      </c>
      <c r="R32" t="s">
        <v>165</v>
      </c>
      <c r="S32" s="4">
        <v>45538</v>
      </c>
      <c r="T32" s="4">
        <v>45580</v>
      </c>
      <c r="U32" s="3">
        <v>862500</v>
      </c>
      <c r="V32" s="3">
        <v>0</v>
      </c>
      <c r="W32" s="3">
        <v>0</v>
      </c>
      <c r="X32" s="3">
        <v>0</v>
      </c>
      <c r="Y32" s="3">
        <v>0</v>
      </c>
      <c r="Z32" s="3">
        <f t="shared" si="0"/>
        <v>862500</v>
      </c>
      <c r="AA32" t="s">
        <v>629</v>
      </c>
      <c r="AB32" s="19" t="s">
        <v>632</v>
      </c>
    </row>
    <row r="33" spans="1:28">
      <c r="A33" t="s">
        <v>154</v>
      </c>
      <c r="B33" s="2">
        <v>0</v>
      </c>
      <c r="C33" s="1" t="s">
        <v>26</v>
      </c>
      <c r="D33" t="s">
        <v>27</v>
      </c>
      <c r="E33" s="2" t="s">
        <v>155</v>
      </c>
      <c r="F33" s="2" t="s">
        <v>156</v>
      </c>
      <c r="G33" s="2">
        <v>830501248</v>
      </c>
      <c r="H33" s="2">
        <v>0</v>
      </c>
      <c r="I33" t="s">
        <v>157</v>
      </c>
      <c r="J33" s="2" t="s">
        <v>53</v>
      </c>
      <c r="K33" s="1" t="s">
        <v>54</v>
      </c>
      <c r="L33" t="s">
        <v>55</v>
      </c>
      <c r="M33" s="3" t="s">
        <v>61</v>
      </c>
      <c r="N33" s="3" t="s">
        <v>61</v>
      </c>
      <c r="O33" s="1" t="s">
        <v>46</v>
      </c>
      <c r="P33" s="1" t="s">
        <v>46</v>
      </c>
      <c r="Q33" t="s">
        <v>62</v>
      </c>
      <c r="R33" t="s">
        <v>166</v>
      </c>
      <c r="S33" s="4">
        <v>45588</v>
      </c>
      <c r="T33" s="4">
        <v>45619</v>
      </c>
      <c r="U33" s="3">
        <v>862500</v>
      </c>
      <c r="V33" s="3">
        <v>0</v>
      </c>
      <c r="W33" s="3">
        <v>0</v>
      </c>
      <c r="X33" s="3">
        <v>0</v>
      </c>
      <c r="Y33" s="3">
        <v>0</v>
      </c>
      <c r="Z33" s="3">
        <f t="shared" si="0"/>
        <v>862500</v>
      </c>
      <c r="AA33" t="s">
        <v>629</v>
      </c>
      <c r="AB33" s="19" t="s">
        <v>632</v>
      </c>
    </row>
    <row r="34" spans="1:28">
      <c r="A34" t="s">
        <v>167</v>
      </c>
      <c r="B34" s="2">
        <v>7</v>
      </c>
      <c r="C34" s="1" t="s">
        <v>26</v>
      </c>
      <c r="D34" t="s">
        <v>27</v>
      </c>
      <c r="E34" s="2" t="s">
        <v>168</v>
      </c>
      <c r="F34" s="2" t="s">
        <v>169</v>
      </c>
      <c r="G34" s="2">
        <v>800153993</v>
      </c>
      <c r="H34" s="2">
        <v>0</v>
      </c>
      <c r="I34" t="s">
        <v>170</v>
      </c>
      <c r="J34" s="2" t="s">
        <v>171</v>
      </c>
      <c r="K34" s="1" t="s">
        <v>172</v>
      </c>
      <c r="L34" t="s">
        <v>173</v>
      </c>
      <c r="M34" s="3">
        <v>109669872.58</v>
      </c>
      <c r="N34" s="3">
        <v>14885577.34</v>
      </c>
      <c r="O34" s="1" t="s">
        <v>174</v>
      </c>
      <c r="P34" s="1" t="s">
        <v>175</v>
      </c>
      <c r="Q34" t="s">
        <v>47</v>
      </c>
      <c r="R34" t="s">
        <v>176</v>
      </c>
      <c r="S34" s="4">
        <v>45631</v>
      </c>
      <c r="T34" s="4">
        <v>45693</v>
      </c>
      <c r="U34" s="3">
        <v>0</v>
      </c>
      <c r="V34" s="3">
        <v>3362599.16</v>
      </c>
      <c r="W34" s="3">
        <v>0</v>
      </c>
      <c r="X34" s="3">
        <v>0</v>
      </c>
      <c r="Y34" s="3">
        <v>0</v>
      </c>
      <c r="Z34" s="3">
        <f t="shared" si="0"/>
        <v>3362599.16</v>
      </c>
      <c r="AA34" t="s">
        <v>627</v>
      </c>
      <c r="AB34" s="19" t="s">
        <v>632</v>
      </c>
    </row>
    <row r="35" spans="1:28">
      <c r="A35" t="s">
        <v>167</v>
      </c>
      <c r="B35" s="2">
        <v>7</v>
      </c>
      <c r="C35" s="1" t="s">
        <v>26</v>
      </c>
      <c r="D35" t="s">
        <v>27</v>
      </c>
      <c r="E35" s="2" t="s">
        <v>168</v>
      </c>
      <c r="F35" s="2" t="s">
        <v>169</v>
      </c>
      <c r="G35" s="2">
        <v>800153993</v>
      </c>
      <c r="H35" s="2">
        <v>0</v>
      </c>
      <c r="I35" t="s">
        <v>170</v>
      </c>
      <c r="J35" s="2" t="s">
        <v>171</v>
      </c>
      <c r="K35" s="1" t="s">
        <v>172</v>
      </c>
      <c r="L35" t="s">
        <v>173</v>
      </c>
      <c r="M35" s="3" t="s">
        <v>61</v>
      </c>
      <c r="N35" s="3" t="s">
        <v>61</v>
      </c>
      <c r="O35" s="1" t="s">
        <v>46</v>
      </c>
      <c r="P35" s="1" t="s">
        <v>46</v>
      </c>
      <c r="Q35" t="s">
        <v>62</v>
      </c>
      <c r="R35" t="s">
        <v>177</v>
      </c>
      <c r="S35" s="4">
        <v>45894</v>
      </c>
      <c r="T35" s="4">
        <v>45955</v>
      </c>
      <c r="U35" s="3">
        <v>0</v>
      </c>
      <c r="V35" s="3">
        <v>0</v>
      </c>
      <c r="W35" s="3">
        <v>3510530.18</v>
      </c>
      <c r="X35" s="3">
        <v>0</v>
      </c>
      <c r="Y35" s="3">
        <v>0</v>
      </c>
      <c r="Z35" s="3">
        <f t="shared" si="0"/>
        <v>3510530.18</v>
      </c>
      <c r="AA35" t="s">
        <v>627</v>
      </c>
      <c r="AB35" s="19" t="s">
        <v>632</v>
      </c>
    </row>
    <row r="36" spans="1:28">
      <c r="A36" t="s">
        <v>167</v>
      </c>
      <c r="B36" s="2">
        <v>7</v>
      </c>
      <c r="C36" s="1" t="s">
        <v>26</v>
      </c>
      <c r="D36" t="s">
        <v>27</v>
      </c>
      <c r="E36" s="2" t="s">
        <v>178</v>
      </c>
      <c r="F36" s="2" t="s">
        <v>179</v>
      </c>
      <c r="G36" s="2">
        <v>800153993</v>
      </c>
      <c r="H36" s="2">
        <v>0</v>
      </c>
      <c r="I36" t="s">
        <v>170</v>
      </c>
      <c r="J36" s="2" t="s">
        <v>171</v>
      </c>
      <c r="K36" s="1" t="s">
        <v>172</v>
      </c>
      <c r="L36" t="s">
        <v>173</v>
      </c>
      <c r="M36" s="3" t="s">
        <v>61</v>
      </c>
      <c r="N36" s="3" t="s">
        <v>61</v>
      </c>
      <c r="O36" s="1" t="s">
        <v>46</v>
      </c>
      <c r="P36" s="1" t="s">
        <v>46</v>
      </c>
      <c r="Q36" t="s">
        <v>62</v>
      </c>
      <c r="R36" t="s">
        <v>180</v>
      </c>
      <c r="S36" s="4">
        <v>45973</v>
      </c>
      <c r="T36" s="4">
        <v>46003</v>
      </c>
      <c r="U36" s="3">
        <v>0</v>
      </c>
      <c r="V36" s="3">
        <v>0</v>
      </c>
      <c r="W36" s="3">
        <v>0</v>
      </c>
      <c r="X36" s="3">
        <v>8012448</v>
      </c>
      <c r="Y36" s="3">
        <v>0</v>
      </c>
      <c r="Z36" s="3">
        <f t="shared" si="0"/>
        <v>8012448</v>
      </c>
      <c r="AA36" t="s">
        <v>627</v>
      </c>
      <c r="AB36" s="19" t="s">
        <v>632</v>
      </c>
    </row>
    <row r="37" spans="1:28">
      <c r="A37" t="s">
        <v>167</v>
      </c>
      <c r="B37" s="2">
        <v>7</v>
      </c>
      <c r="C37" s="1" t="s">
        <v>26</v>
      </c>
      <c r="D37" t="s">
        <v>27</v>
      </c>
      <c r="E37" s="2" t="s">
        <v>168</v>
      </c>
      <c r="F37" s="2" t="s">
        <v>169</v>
      </c>
      <c r="G37" s="2">
        <v>800153993</v>
      </c>
      <c r="H37" s="2">
        <v>0</v>
      </c>
      <c r="I37" t="s">
        <v>170</v>
      </c>
      <c r="J37" s="2" t="s">
        <v>171</v>
      </c>
      <c r="K37" s="1" t="s">
        <v>172</v>
      </c>
      <c r="L37" t="s">
        <v>173</v>
      </c>
      <c r="M37" s="3" t="s">
        <v>61</v>
      </c>
      <c r="N37" s="3" t="s">
        <v>61</v>
      </c>
      <c r="O37" s="1" t="s">
        <v>46</v>
      </c>
      <c r="P37" s="1" t="s">
        <v>46</v>
      </c>
      <c r="Q37" t="s">
        <v>62</v>
      </c>
      <c r="R37" t="s">
        <v>181</v>
      </c>
      <c r="S37" s="4">
        <v>46002</v>
      </c>
      <c r="T37" s="4">
        <v>46064</v>
      </c>
      <c r="U37" s="3">
        <v>0</v>
      </c>
      <c r="V37" s="3">
        <v>0</v>
      </c>
      <c r="W37" s="3">
        <v>0</v>
      </c>
      <c r="X37" s="3">
        <v>0</v>
      </c>
      <c r="Y37" s="3">
        <v>47392147.619999997</v>
      </c>
      <c r="Z37" s="3">
        <f t="shared" si="0"/>
        <v>47392147.619999997</v>
      </c>
      <c r="AA37" t="s">
        <v>628</v>
      </c>
      <c r="AB37" s="19" t="s">
        <v>632</v>
      </c>
    </row>
    <row r="38" spans="1:28">
      <c r="A38" t="s">
        <v>167</v>
      </c>
      <c r="B38" s="2">
        <v>7</v>
      </c>
      <c r="C38" s="1" t="s">
        <v>26</v>
      </c>
      <c r="D38" t="s">
        <v>27</v>
      </c>
      <c r="E38" s="2" t="s">
        <v>168</v>
      </c>
      <c r="F38" s="2" t="s">
        <v>169</v>
      </c>
      <c r="G38" s="2">
        <v>800153993</v>
      </c>
      <c r="H38" s="2">
        <v>0</v>
      </c>
      <c r="I38" t="s">
        <v>170</v>
      </c>
      <c r="J38" s="2" t="s">
        <v>171</v>
      </c>
      <c r="K38" s="1" t="s">
        <v>172</v>
      </c>
      <c r="L38" t="s">
        <v>173</v>
      </c>
      <c r="M38" s="3" t="s">
        <v>61</v>
      </c>
      <c r="N38" s="3" t="s">
        <v>61</v>
      </c>
      <c r="O38" s="1" t="s">
        <v>46</v>
      </c>
      <c r="P38" s="1" t="s">
        <v>46</v>
      </c>
      <c r="Q38" t="s">
        <v>62</v>
      </c>
      <c r="R38" t="s">
        <v>182</v>
      </c>
      <c r="S38" s="4">
        <v>46002</v>
      </c>
      <c r="T38" s="4">
        <v>46064</v>
      </c>
      <c r="U38" s="3">
        <v>0</v>
      </c>
      <c r="V38" s="3">
        <v>0</v>
      </c>
      <c r="W38" s="3">
        <v>0</v>
      </c>
      <c r="X38" s="3">
        <v>0</v>
      </c>
      <c r="Y38" s="3">
        <v>47392147.619999997</v>
      </c>
      <c r="Z38" s="3">
        <f t="shared" si="0"/>
        <v>47392147.619999997</v>
      </c>
      <c r="AA38" t="s">
        <v>628</v>
      </c>
      <c r="AB38" s="19" t="s">
        <v>632</v>
      </c>
    </row>
    <row r="39" spans="1:28">
      <c r="A39" t="s">
        <v>183</v>
      </c>
      <c r="B39" s="2">
        <v>0</v>
      </c>
      <c r="C39" s="1" t="s">
        <v>26</v>
      </c>
      <c r="D39" t="s">
        <v>27</v>
      </c>
      <c r="E39" s="2" t="s">
        <v>184</v>
      </c>
      <c r="F39" s="2" t="s">
        <v>185</v>
      </c>
      <c r="G39" s="2">
        <v>890700906</v>
      </c>
      <c r="H39" s="2">
        <v>0</v>
      </c>
      <c r="I39" t="s">
        <v>186</v>
      </c>
      <c r="J39" s="2" t="s">
        <v>187</v>
      </c>
      <c r="K39" s="1" t="s">
        <v>188</v>
      </c>
      <c r="L39" t="s">
        <v>189</v>
      </c>
      <c r="M39" s="3">
        <v>58542300</v>
      </c>
      <c r="N39" s="3">
        <v>58542300</v>
      </c>
      <c r="O39" s="1" t="s">
        <v>190</v>
      </c>
      <c r="P39" s="1" t="s">
        <v>46</v>
      </c>
      <c r="Q39" t="s">
        <v>191</v>
      </c>
      <c r="R39" t="s">
        <v>192</v>
      </c>
      <c r="S39" s="4">
        <v>45992</v>
      </c>
      <c r="T39" s="4">
        <v>46023</v>
      </c>
      <c r="U39" s="3">
        <v>0</v>
      </c>
      <c r="V39" s="3">
        <v>0</v>
      </c>
      <c r="W39" s="3">
        <v>0</v>
      </c>
      <c r="X39" s="3">
        <v>0</v>
      </c>
      <c r="Y39" s="3">
        <v>29271150</v>
      </c>
      <c r="Z39" s="3">
        <f t="shared" si="0"/>
        <v>29271150</v>
      </c>
      <c r="AA39" t="s">
        <v>627</v>
      </c>
      <c r="AB39" s="19" t="s">
        <v>632</v>
      </c>
    </row>
    <row r="40" spans="1:28">
      <c r="A40" t="s">
        <v>183</v>
      </c>
      <c r="B40" s="2">
        <v>0</v>
      </c>
      <c r="C40" s="1" t="s">
        <v>26</v>
      </c>
      <c r="D40" t="s">
        <v>27</v>
      </c>
      <c r="E40" s="2" t="s">
        <v>184</v>
      </c>
      <c r="F40" s="2" t="s">
        <v>185</v>
      </c>
      <c r="G40" s="2">
        <v>890700906</v>
      </c>
      <c r="H40" s="2">
        <v>0</v>
      </c>
      <c r="I40" t="s">
        <v>186</v>
      </c>
      <c r="J40" s="2" t="s">
        <v>187</v>
      </c>
      <c r="K40" s="1" t="s">
        <v>188</v>
      </c>
      <c r="L40" t="s">
        <v>189</v>
      </c>
      <c r="M40" s="3" t="s">
        <v>61</v>
      </c>
      <c r="N40" s="3" t="s">
        <v>61</v>
      </c>
      <c r="O40" s="1" t="s">
        <v>46</v>
      </c>
      <c r="P40" s="1" t="s">
        <v>46</v>
      </c>
      <c r="Q40" t="s">
        <v>62</v>
      </c>
      <c r="R40" t="s">
        <v>193</v>
      </c>
      <c r="S40" s="4">
        <v>46003</v>
      </c>
      <c r="T40" s="4">
        <v>46034</v>
      </c>
      <c r="U40" s="3">
        <v>0</v>
      </c>
      <c r="V40" s="3">
        <v>0</v>
      </c>
      <c r="W40" s="3">
        <v>0</v>
      </c>
      <c r="X40" s="3">
        <v>0</v>
      </c>
      <c r="Y40" s="3">
        <v>29271150</v>
      </c>
      <c r="Z40" s="3">
        <f t="shared" si="0"/>
        <v>29271150</v>
      </c>
      <c r="AA40" t="s">
        <v>627</v>
      </c>
      <c r="AB40" s="19" t="s">
        <v>632</v>
      </c>
    </row>
    <row r="41" spans="1:28">
      <c r="A41" t="s">
        <v>194</v>
      </c>
      <c r="B41" s="2">
        <v>1</v>
      </c>
      <c r="C41" s="1" t="s">
        <v>26</v>
      </c>
      <c r="D41" t="s">
        <v>27</v>
      </c>
      <c r="E41" s="2" t="s">
        <v>120</v>
      </c>
      <c r="F41" s="2" t="s">
        <v>121</v>
      </c>
      <c r="G41" s="2">
        <v>830069499</v>
      </c>
      <c r="H41" s="2">
        <v>0</v>
      </c>
      <c r="I41" t="s">
        <v>195</v>
      </c>
      <c r="J41" s="2" t="s">
        <v>77</v>
      </c>
      <c r="K41" s="1" t="s">
        <v>78</v>
      </c>
      <c r="L41" t="s">
        <v>79</v>
      </c>
      <c r="M41" s="3">
        <v>213490.25</v>
      </c>
      <c r="N41" s="3">
        <v>0</v>
      </c>
      <c r="O41" s="1" t="s">
        <v>196</v>
      </c>
      <c r="P41" s="1" t="s">
        <v>197</v>
      </c>
      <c r="Q41" t="s">
        <v>47</v>
      </c>
      <c r="R41" t="s">
        <v>198</v>
      </c>
      <c r="S41" s="4">
        <v>46038</v>
      </c>
      <c r="T41" s="4">
        <v>46069</v>
      </c>
      <c r="U41" s="3">
        <v>0</v>
      </c>
      <c r="V41" s="3">
        <v>0</v>
      </c>
      <c r="W41" s="3">
        <v>0</v>
      </c>
      <c r="X41" s="3">
        <v>0</v>
      </c>
      <c r="Y41" s="3">
        <v>213490.25</v>
      </c>
      <c r="Z41" s="3">
        <f t="shared" si="0"/>
        <v>213490.25</v>
      </c>
      <c r="AA41" t="s">
        <v>628</v>
      </c>
      <c r="AB41" s="19" t="s">
        <v>632</v>
      </c>
    </row>
    <row r="42" spans="1:28">
      <c r="A42" t="s">
        <v>199</v>
      </c>
      <c r="B42" s="2">
        <v>1</v>
      </c>
      <c r="C42" s="1" t="s">
        <v>26</v>
      </c>
      <c r="D42" t="s">
        <v>27</v>
      </c>
      <c r="E42" s="2" t="s">
        <v>200</v>
      </c>
      <c r="F42" s="2" t="s">
        <v>201</v>
      </c>
      <c r="G42" s="2">
        <v>819002587</v>
      </c>
      <c r="H42" s="2">
        <v>0</v>
      </c>
      <c r="I42" t="s">
        <v>202</v>
      </c>
      <c r="J42" s="2" t="s">
        <v>53</v>
      </c>
      <c r="K42" s="1" t="s">
        <v>54</v>
      </c>
      <c r="L42" t="s">
        <v>55</v>
      </c>
      <c r="M42" s="3">
        <v>18444000</v>
      </c>
      <c r="N42" s="3">
        <v>18444000</v>
      </c>
      <c r="O42" s="1" t="s">
        <v>203</v>
      </c>
      <c r="P42" s="1" t="s">
        <v>46</v>
      </c>
      <c r="Q42" t="s">
        <v>204</v>
      </c>
      <c r="R42" t="s">
        <v>205</v>
      </c>
      <c r="S42" s="4">
        <v>44921</v>
      </c>
      <c r="T42" s="4">
        <v>44952</v>
      </c>
      <c r="U42" s="3">
        <v>14120000</v>
      </c>
      <c r="V42" s="3">
        <v>0</v>
      </c>
      <c r="W42" s="3">
        <v>0</v>
      </c>
      <c r="X42" s="3">
        <v>0</v>
      </c>
      <c r="Y42" s="3">
        <v>0</v>
      </c>
      <c r="Z42" s="3">
        <f t="shared" si="0"/>
        <v>14120000</v>
      </c>
      <c r="AA42" t="s">
        <v>630</v>
      </c>
      <c r="AB42" s="19" t="s">
        <v>632</v>
      </c>
    </row>
    <row r="43" spans="1:28">
      <c r="A43" t="s">
        <v>199</v>
      </c>
      <c r="B43" s="2">
        <v>1</v>
      </c>
      <c r="C43" s="1" t="s">
        <v>26</v>
      </c>
      <c r="D43" t="s">
        <v>27</v>
      </c>
      <c r="E43" s="2" t="s">
        <v>206</v>
      </c>
      <c r="F43" s="2" t="s">
        <v>207</v>
      </c>
      <c r="G43" s="2">
        <v>819002587</v>
      </c>
      <c r="H43" s="2">
        <v>0</v>
      </c>
      <c r="I43" t="s">
        <v>202</v>
      </c>
      <c r="J43" s="2" t="s">
        <v>53</v>
      </c>
      <c r="K43" s="1" t="s">
        <v>54</v>
      </c>
      <c r="L43" t="s">
        <v>55</v>
      </c>
      <c r="M43" s="3" t="s">
        <v>61</v>
      </c>
      <c r="N43" s="3" t="s">
        <v>61</v>
      </c>
      <c r="O43" s="1" t="s">
        <v>46</v>
      </c>
      <c r="P43" s="1" t="s">
        <v>46</v>
      </c>
      <c r="Q43" t="s">
        <v>62</v>
      </c>
      <c r="R43" t="s">
        <v>208</v>
      </c>
      <c r="S43" s="4">
        <v>45482</v>
      </c>
      <c r="T43" s="4">
        <v>45513</v>
      </c>
      <c r="U43" s="3">
        <v>4324000</v>
      </c>
      <c r="V43" s="3">
        <v>0</v>
      </c>
      <c r="W43" s="3">
        <v>0</v>
      </c>
      <c r="X43" s="3">
        <v>0</v>
      </c>
      <c r="Y43" s="3">
        <v>0</v>
      </c>
      <c r="Z43" s="3">
        <f t="shared" si="0"/>
        <v>4324000</v>
      </c>
      <c r="AA43" t="s">
        <v>630</v>
      </c>
      <c r="AB43" s="19" t="s">
        <v>632</v>
      </c>
    </row>
    <row r="44" spans="1:28">
      <c r="A44" t="s">
        <v>209</v>
      </c>
      <c r="B44" s="2">
        <v>4</v>
      </c>
      <c r="C44" s="1" t="s">
        <v>26</v>
      </c>
      <c r="D44" t="s">
        <v>27</v>
      </c>
      <c r="E44" s="2" t="s">
        <v>155</v>
      </c>
      <c r="F44" s="2" t="s">
        <v>156</v>
      </c>
      <c r="G44" s="2">
        <v>901076932</v>
      </c>
      <c r="H44" s="2">
        <v>0</v>
      </c>
      <c r="I44" t="s">
        <v>210</v>
      </c>
      <c r="J44" s="2" t="s">
        <v>77</v>
      </c>
      <c r="K44" s="1" t="s">
        <v>78</v>
      </c>
      <c r="L44" t="s">
        <v>79</v>
      </c>
      <c r="M44" s="3">
        <v>6037500</v>
      </c>
      <c r="N44" s="3">
        <v>6037500</v>
      </c>
      <c r="O44" s="1" t="s">
        <v>211</v>
      </c>
      <c r="P44" s="1" t="s">
        <v>212</v>
      </c>
      <c r="Q44" t="s">
        <v>213</v>
      </c>
      <c r="R44" t="s">
        <v>214</v>
      </c>
      <c r="S44" s="4">
        <v>45435</v>
      </c>
      <c r="T44" s="4">
        <v>45466</v>
      </c>
      <c r="U44" s="3">
        <v>1725000</v>
      </c>
      <c r="V44" s="3">
        <v>0</v>
      </c>
      <c r="W44" s="3">
        <v>0</v>
      </c>
      <c r="X44" s="3">
        <v>0</v>
      </c>
      <c r="Y44" s="3">
        <v>0</v>
      </c>
      <c r="Z44" s="3">
        <f t="shared" si="0"/>
        <v>1725000</v>
      </c>
      <c r="AA44" t="s">
        <v>629</v>
      </c>
      <c r="AB44" s="19" t="s">
        <v>632</v>
      </c>
    </row>
    <row r="45" spans="1:28">
      <c r="A45" t="s">
        <v>209</v>
      </c>
      <c r="B45" s="2">
        <v>4</v>
      </c>
      <c r="C45" s="1" t="s">
        <v>26</v>
      </c>
      <c r="D45" t="s">
        <v>27</v>
      </c>
      <c r="E45" s="2" t="s">
        <v>155</v>
      </c>
      <c r="F45" s="2" t="s">
        <v>156</v>
      </c>
      <c r="G45" s="2">
        <v>901076932</v>
      </c>
      <c r="H45" s="2">
        <v>0</v>
      </c>
      <c r="I45" t="s">
        <v>210</v>
      </c>
      <c r="J45" s="2" t="s">
        <v>77</v>
      </c>
      <c r="K45" s="1" t="s">
        <v>78</v>
      </c>
      <c r="L45" t="s">
        <v>79</v>
      </c>
      <c r="M45" s="3" t="s">
        <v>61</v>
      </c>
      <c r="N45" s="3" t="s">
        <v>61</v>
      </c>
      <c r="O45" s="1" t="s">
        <v>46</v>
      </c>
      <c r="P45" s="1" t="s">
        <v>46</v>
      </c>
      <c r="Q45" t="s">
        <v>62</v>
      </c>
      <c r="R45" t="s">
        <v>215</v>
      </c>
      <c r="S45" s="4">
        <v>45450</v>
      </c>
      <c r="T45" s="4">
        <v>45480</v>
      </c>
      <c r="U45" s="3">
        <v>862500</v>
      </c>
      <c r="V45" s="3">
        <v>0</v>
      </c>
      <c r="W45" s="3">
        <v>0</v>
      </c>
      <c r="X45" s="3">
        <v>0</v>
      </c>
      <c r="Y45" s="3">
        <v>0</v>
      </c>
      <c r="Z45" s="3">
        <f t="shared" si="0"/>
        <v>862500</v>
      </c>
      <c r="AA45" t="s">
        <v>629</v>
      </c>
      <c r="AB45" s="19" t="s">
        <v>632</v>
      </c>
    </row>
    <row r="46" spans="1:28">
      <c r="A46" t="s">
        <v>209</v>
      </c>
      <c r="B46" s="2">
        <v>4</v>
      </c>
      <c r="C46" s="1" t="s">
        <v>26</v>
      </c>
      <c r="D46" t="s">
        <v>27</v>
      </c>
      <c r="E46" s="2" t="s">
        <v>155</v>
      </c>
      <c r="F46" s="2" t="s">
        <v>156</v>
      </c>
      <c r="G46" s="2">
        <v>901076932</v>
      </c>
      <c r="H46" s="2">
        <v>0</v>
      </c>
      <c r="I46" t="s">
        <v>210</v>
      </c>
      <c r="J46" s="2" t="s">
        <v>77</v>
      </c>
      <c r="K46" s="1" t="s">
        <v>78</v>
      </c>
      <c r="L46" t="s">
        <v>79</v>
      </c>
      <c r="M46" s="3" t="s">
        <v>61</v>
      </c>
      <c r="N46" s="3" t="s">
        <v>61</v>
      </c>
      <c r="O46" s="1" t="s">
        <v>46</v>
      </c>
      <c r="P46" s="1" t="s">
        <v>46</v>
      </c>
      <c r="Q46" t="s">
        <v>62</v>
      </c>
      <c r="R46" t="s">
        <v>216</v>
      </c>
      <c r="S46" s="4">
        <v>45478</v>
      </c>
      <c r="T46" s="4">
        <v>45509</v>
      </c>
      <c r="U46" s="3">
        <v>862500</v>
      </c>
      <c r="V46" s="3">
        <v>0</v>
      </c>
      <c r="W46" s="3">
        <v>0</v>
      </c>
      <c r="X46" s="3">
        <v>0</v>
      </c>
      <c r="Y46" s="3">
        <v>0</v>
      </c>
      <c r="Z46" s="3">
        <f t="shared" si="0"/>
        <v>862500</v>
      </c>
      <c r="AA46" t="s">
        <v>629</v>
      </c>
      <c r="AB46" s="19" t="s">
        <v>632</v>
      </c>
    </row>
    <row r="47" spans="1:28">
      <c r="A47" t="s">
        <v>209</v>
      </c>
      <c r="B47" s="2">
        <v>4</v>
      </c>
      <c r="C47" s="1" t="s">
        <v>26</v>
      </c>
      <c r="D47" t="s">
        <v>27</v>
      </c>
      <c r="E47" s="2" t="s">
        <v>155</v>
      </c>
      <c r="F47" s="2" t="s">
        <v>156</v>
      </c>
      <c r="G47" s="2">
        <v>901076932</v>
      </c>
      <c r="H47" s="2">
        <v>0</v>
      </c>
      <c r="I47" t="s">
        <v>210</v>
      </c>
      <c r="J47" s="2" t="s">
        <v>77</v>
      </c>
      <c r="K47" s="1" t="s">
        <v>78</v>
      </c>
      <c r="L47" t="s">
        <v>79</v>
      </c>
      <c r="M47" s="3" t="s">
        <v>61</v>
      </c>
      <c r="N47" s="3" t="s">
        <v>61</v>
      </c>
      <c r="O47" s="1" t="s">
        <v>46</v>
      </c>
      <c r="P47" s="1" t="s">
        <v>46</v>
      </c>
      <c r="Q47" t="s">
        <v>62</v>
      </c>
      <c r="R47" t="s">
        <v>217</v>
      </c>
      <c r="S47" s="4">
        <v>45518</v>
      </c>
      <c r="T47" s="4">
        <v>45549</v>
      </c>
      <c r="U47" s="3">
        <v>862500</v>
      </c>
      <c r="V47" s="3">
        <v>0</v>
      </c>
      <c r="W47" s="3">
        <v>0</v>
      </c>
      <c r="X47" s="3">
        <v>0</v>
      </c>
      <c r="Y47" s="3">
        <v>0</v>
      </c>
      <c r="Z47" s="3">
        <f t="shared" si="0"/>
        <v>862500</v>
      </c>
      <c r="AA47" t="s">
        <v>629</v>
      </c>
      <c r="AB47" s="19" t="s">
        <v>632</v>
      </c>
    </row>
    <row r="48" spans="1:28">
      <c r="A48" t="s">
        <v>209</v>
      </c>
      <c r="B48" s="2">
        <v>4</v>
      </c>
      <c r="C48" s="1" t="s">
        <v>26</v>
      </c>
      <c r="D48" t="s">
        <v>27</v>
      </c>
      <c r="E48" s="2" t="s">
        <v>155</v>
      </c>
      <c r="F48" s="2" t="s">
        <v>156</v>
      </c>
      <c r="G48" s="2">
        <v>901076932</v>
      </c>
      <c r="H48" s="2">
        <v>0</v>
      </c>
      <c r="I48" t="s">
        <v>210</v>
      </c>
      <c r="J48" s="2" t="s">
        <v>77</v>
      </c>
      <c r="K48" s="1" t="s">
        <v>78</v>
      </c>
      <c r="L48" t="s">
        <v>79</v>
      </c>
      <c r="M48" s="3" t="s">
        <v>61</v>
      </c>
      <c r="N48" s="3" t="s">
        <v>61</v>
      </c>
      <c r="O48" s="1" t="s">
        <v>46</v>
      </c>
      <c r="P48" s="1" t="s">
        <v>46</v>
      </c>
      <c r="Q48" t="s">
        <v>62</v>
      </c>
      <c r="R48" t="s">
        <v>218</v>
      </c>
      <c r="S48" s="4">
        <v>45538</v>
      </c>
      <c r="T48" s="4">
        <v>45580</v>
      </c>
      <c r="U48" s="3">
        <v>862500</v>
      </c>
      <c r="V48" s="3">
        <v>0</v>
      </c>
      <c r="W48" s="3">
        <v>0</v>
      </c>
      <c r="X48" s="3">
        <v>0</v>
      </c>
      <c r="Y48" s="3">
        <v>0</v>
      </c>
      <c r="Z48" s="3">
        <f t="shared" si="0"/>
        <v>862500</v>
      </c>
      <c r="AA48" t="s">
        <v>629</v>
      </c>
      <c r="AB48" s="19" t="s">
        <v>632</v>
      </c>
    </row>
    <row r="49" spans="1:28">
      <c r="A49" t="s">
        <v>209</v>
      </c>
      <c r="B49" s="2">
        <v>4</v>
      </c>
      <c r="C49" s="1" t="s">
        <v>26</v>
      </c>
      <c r="D49" t="s">
        <v>27</v>
      </c>
      <c r="E49" s="2" t="s">
        <v>155</v>
      </c>
      <c r="F49" s="2" t="s">
        <v>156</v>
      </c>
      <c r="G49" s="2">
        <v>901076932</v>
      </c>
      <c r="H49" s="2">
        <v>0</v>
      </c>
      <c r="I49" t="s">
        <v>210</v>
      </c>
      <c r="J49" s="2" t="s">
        <v>77</v>
      </c>
      <c r="K49" s="1" t="s">
        <v>78</v>
      </c>
      <c r="L49" t="s">
        <v>79</v>
      </c>
      <c r="M49" s="3" t="s">
        <v>61</v>
      </c>
      <c r="N49" s="3" t="s">
        <v>61</v>
      </c>
      <c r="O49" s="1" t="s">
        <v>46</v>
      </c>
      <c r="P49" s="1" t="s">
        <v>46</v>
      </c>
      <c r="Q49" t="s">
        <v>62</v>
      </c>
      <c r="R49" t="s">
        <v>219</v>
      </c>
      <c r="S49" s="4">
        <v>45588</v>
      </c>
      <c r="T49" s="4">
        <v>45619</v>
      </c>
      <c r="U49" s="3">
        <v>862500</v>
      </c>
      <c r="V49" s="3">
        <v>0</v>
      </c>
      <c r="W49" s="3">
        <v>0</v>
      </c>
      <c r="X49" s="3">
        <v>0</v>
      </c>
      <c r="Y49" s="3">
        <v>0</v>
      </c>
      <c r="Z49" s="3">
        <f t="shared" si="0"/>
        <v>862500</v>
      </c>
      <c r="AA49" t="s">
        <v>629</v>
      </c>
      <c r="AB49" s="19" t="s">
        <v>632</v>
      </c>
    </row>
    <row r="50" spans="1:28">
      <c r="A50" t="s">
        <v>220</v>
      </c>
      <c r="B50" s="2">
        <v>3</v>
      </c>
      <c r="C50" s="1" t="s">
        <v>26</v>
      </c>
      <c r="D50" t="s">
        <v>27</v>
      </c>
      <c r="E50" s="2" t="s">
        <v>221</v>
      </c>
      <c r="F50" s="2" t="s">
        <v>222</v>
      </c>
      <c r="G50" s="2">
        <v>900673217</v>
      </c>
      <c r="H50" s="2">
        <v>0</v>
      </c>
      <c r="I50" t="s">
        <v>223</v>
      </c>
      <c r="J50" s="2" t="s">
        <v>224</v>
      </c>
      <c r="K50" s="1" t="s">
        <v>225</v>
      </c>
      <c r="L50" t="s">
        <v>189</v>
      </c>
      <c r="M50" s="3">
        <v>27252100.84</v>
      </c>
      <c r="N50" s="3">
        <v>27252100.84</v>
      </c>
      <c r="O50" s="1" t="s">
        <v>226</v>
      </c>
      <c r="P50" s="1" t="s">
        <v>227</v>
      </c>
      <c r="Q50" t="s">
        <v>228</v>
      </c>
      <c r="R50" t="s">
        <v>229</v>
      </c>
      <c r="S50" s="4">
        <v>45749</v>
      </c>
      <c r="T50" s="4">
        <v>45779</v>
      </c>
      <c r="U50" s="3">
        <v>0</v>
      </c>
      <c r="V50" s="3">
        <v>27252100.84</v>
      </c>
      <c r="W50" s="3">
        <v>0</v>
      </c>
      <c r="X50" s="3">
        <v>0</v>
      </c>
      <c r="Y50" s="3">
        <v>0</v>
      </c>
      <c r="Z50" s="3">
        <f t="shared" si="0"/>
        <v>27252100.84</v>
      </c>
      <c r="AA50" t="s">
        <v>627</v>
      </c>
      <c r="AB50" s="19" t="s">
        <v>632</v>
      </c>
    </row>
    <row r="51" spans="1:28">
      <c r="A51" t="s">
        <v>230</v>
      </c>
      <c r="B51" s="2">
        <v>0</v>
      </c>
      <c r="C51" s="1" t="s">
        <v>26</v>
      </c>
      <c r="D51" t="s">
        <v>27</v>
      </c>
      <c r="E51" s="2" t="s">
        <v>231</v>
      </c>
      <c r="F51" s="2" t="s">
        <v>232</v>
      </c>
      <c r="G51" s="2">
        <v>899999083</v>
      </c>
      <c r="H51" s="2">
        <v>0</v>
      </c>
      <c r="I51" t="s">
        <v>233</v>
      </c>
      <c r="J51" s="2" t="s">
        <v>234</v>
      </c>
      <c r="K51" s="1" t="s">
        <v>235</v>
      </c>
      <c r="L51" t="s">
        <v>236</v>
      </c>
      <c r="M51" s="3">
        <v>248205607.91999999</v>
      </c>
      <c r="N51" s="3">
        <v>0</v>
      </c>
      <c r="O51" s="1" t="s">
        <v>237</v>
      </c>
      <c r="P51" s="1" t="s">
        <v>238</v>
      </c>
      <c r="Q51" t="s">
        <v>47</v>
      </c>
      <c r="R51" t="s">
        <v>239</v>
      </c>
      <c r="S51" s="4">
        <v>46017</v>
      </c>
      <c r="T51" s="4">
        <v>46048</v>
      </c>
      <c r="U51" s="3">
        <v>0</v>
      </c>
      <c r="V51" s="3">
        <v>0</v>
      </c>
      <c r="W51" s="3">
        <v>0</v>
      </c>
      <c r="X51" s="3">
        <v>0</v>
      </c>
      <c r="Y51" s="3">
        <v>248205607.91999999</v>
      </c>
      <c r="Z51" s="3">
        <f t="shared" si="0"/>
        <v>248205607.91999999</v>
      </c>
      <c r="AA51" t="s">
        <v>628</v>
      </c>
      <c r="AB51" s="19" t="s">
        <v>632</v>
      </c>
    </row>
    <row r="52" spans="1:28">
      <c r="A52" t="s">
        <v>240</v>
      </c>
      <c r="B52" s="2">
        <v>0</v>
      </c>
      <c r="C52" s="1" t="s">
        <v>26</v>
      </c>
      <c r="D52" t="s">
        <v>27</v>
      </c>
      <c r="E52" s="2" t="s">
        <v>241</v>
      </c>
      <c r="F52" s="2" t="s">
        <v>242</v>
      </c>
      <c r="G52" s="2">
        <v>899999011</v>
      </c>
      <c r="H52" s="2">
        <v>0</v>
      </c>
      <c r="I52" t="s">
        <v>243</v>
      </c>
      <c r="J52" s="2" t="s">
        <v>234</v>
      </c>
      <c r="K52" s="1" t="s">
        <v>235</v>
      </c>
      <c r="L52" t="s">
        <v>236</v>
      </c>
      <c r="M52" s="3">
        <v>854966291</v>
      </c>
      <c r="N52" s="3">
        <v>854966291</v>
      </c>
      <c r="O52" s="1" t="s">
        <v>244</v>
      </c>
      <c r="P52" s="1" t="s">
        <v>244</v>
      </c>
      <c r="Q52" t="s">
        <v>47</v>
      </c>
      <c r="R52" t="s">
        <v>245</v>
      </c>
      <c r="S52" s="4">
        <v>45937</v>
      </c>
      <c r="T52" s="4">
        <v>45968</v>
      </c>
      <c r="U52" s="3">
        <v>0</v>
      </c>
      <c r="V52" s="3">
        <v>0</v>
      </c>
      <c r="W52" s="3">
        <v>263066551</v>
      </c>
      <c r="X52" s="3">
        <v>0</v>
      </c>
      <c r="Y52" s="3">
        <v>0</v>
      </c>
      <c r="Z52" s="3">
        <f t="shared" si="0"/>
        <v>263066551</v>
      </c>
      <c r="AA52" t="s">
        <v>627</v>
      </c>
      <c r="AB52" s="19" t="s">
        <v>632</v>
      </c>
    </row>
    <row r="53" spans="1:28">
      <c r="A53" t="s">
        <v>240</v>
      </c>
      <c r="B53" s="2">
        <v>0</v>
      </c>
      <c r="C53" s="1" t="s">
        <v>26</v>
      </c>
      <c r="D53" t="s">
        <v>27</v>
      </c>
      <c r="E53" s="2" t="s">
        <v>241</v>
      </c>
      <c r="F53" s="2" t="s">
        <v>242</v>
      </c>
      <c r="G53" s="2">
        <v>899999011</v>
      </c>
      <c r="H53" s="2">
        <v>0</v>
      </c>
      <c r="I53" t="s">
        <v>243</v>
      </c>
      <c r="J53" s="2" t="s">
        <v>234</v>
      </c>
      <c r="K53" s="1" t="s">
        <v>235</v>
      </c>
      <c r="L53" t="s">
        <v>236</v>
      </c>
      <c r="M53" s="3" t="s">
        <v>61</v>
      </c>
      <c r="N53" s="3" t="s">
        <v>61</v>
      </c>
      <c r="O53" s="1" t="s">
        <v>46</v>
      </c>
      <c r="P53" s="1" t="s">
        <v>46</v>
      </c>
      <c r="Q53" t="s">
        <v>62</v>
      </c>
      <c r="R53" t="s">
        <v>246</v>
      </c>
      <c r="S53" s="4">
        <v>46000</v>
      </c>
      <c r="T53" s="4">
        <v>46031</v>
      </c>
      <c r="U53" s="3">
        <v>0</v>
      </c>
      <c r="V53" s="3">
        <v>0</v>
      </c>
      <c r="W53" s="3">
        <v>0</v>
      </c>
      <c r="X53" s="3">
        <v>0</v>
      </c>
      <c r="Y53" s="3">
        <v>394599827</v>
      </c>
      <c r="Z53" s="3">
        <f t="shared" si="0"/>
        <v>394599827</v>
      </c>
      <c r="AA53" t="s">
        <v>627</v>
      </c>
      <c r="AB53" s="19" t="s">
        <v>632</v>
      </c>
    </row>
    <row r="54" spans="1:28">
      <c r="A54" t="s">
        <v>240</v>
      </c>
      <c r="B54" s="2">
        <v>0</v>
      </c>
      <c r="C54" s="1" t="s">
        <v>26</v>
      </c>
      <c r="D54" t="s">
        <v>27</v>
      </c>
      <c r="E54" s="2" t="s">
        <v>241</v>
      </c>
      <c r="F54" s="2" t="s">
        <v>242</v>
      </c>
      <c r="G54" s="2">
        <v>899999011</v>
      </c>
      <c r="H54" s="2">
        <v>0</v>
      </c>
      <c r="I54" t="s">
        <v>243</v>
      </c>
      <c r="J54" s="2" t="s">
        <v>234</v>
      </c>
      <c r="K54" s="1" t="s">
        <v>235</v>
      </c>
      <c r="L54" t="s">
        <v>236</v>
      </c>
      <c r="M54" s="3" t="s">
        <v>61</v>
      </c>
      <c r="N54" s="3" t="s">
        <v>61</v>
      </c>
      <c r="O54" s="1" t="s">
        <v>46</v>
      </c>
      <c r="P54" s="1" t="s">
        <v>46</v>
      </c>
      <c r="Q54" t="s">
        <v>62</v>
      </c>
      <c r="R54" t="s">
        <v>247</v>
      </c>
      <c r="S54" s="4">
        <v>46009</v>
      </c>
      <c r="T54" s="4">
        <v>46040</v>
      </c>
      <c r="U54" s="3">
        <v>0</v>
      </c>
      <c r="V54" s="3">
        <v>0</v>
      </c>
      <c r="W54" s="3">
        <v>0</v>
      </c>
      <c r="X54" s="3">
        <v>0</v>
      </c>
      <c r="Y54" s="3">
        <v>197299913</v>
      </c>
      <c r="Z54" s="3">
        <f t="shared" si="0"/>
        <v>197299913</v>
      </c>
      <c r="AA54" t="s">
        <v>627</v>
      </c>
      <c r="AB54" s="19" t="s">
        <v>632</v>
      </c>
    </row>
    <row r="55" spans="1:28">
      <c r="A55" t="s">
        <v>248</v>
      </c>
      <c r="B55" s="2">
        <v>0</v>
      </c>
      <c r="C55" s="1" t="s">
        <v>26</v>
      </c>
      <c r="D55" t="s">
        <v>27</v>
      </c>
      <c r="E55" s="2" t="s">
        <v>249</v>
      </c>
      <c r="F55" s="2" t="s">
        <v>250</v>
      </c>
      <c r="G55" s="2">
        <v>444444551</v>
      </c>
      <c r="H55" s="2">
        <v>0</v>
      </c>
      <c r="I55" t="s">
        <v>251</v>
      </c>
      <c r="J55" s="2" t="s">
        <v>31</v>
      </c>
      <c r="K55" s="1" t="s">
        <v>32</v>
      </c>
      <c r="L55" t="s">
        <v>33</v>
      </c>
      <c r="M55" s="3">
        <v>228430464</v>
      </c>
      <c r="N55" s="3">
        <v>40576464</v>
      </c>
      <c r="O55" s="1" t="s">
        <v>46</v>
      </c>
      <c r="P55" s="1" t="s">
        <v>46</v>
      </c>
      <c r="Q55" t="s">
        <v>252</v>
      </c>
      <c r="R55" t="s">
        <v>253</v>
      </c>
      <c r="S55" s="4">
        <v>45940</v>
      </c>
      <c r="T55" s="4">
        <v>46001</v>
      </c>
      <c r="U55" s="3">
        <v>0</v>
      </c>
      <c r="V55" s="3">
        <v>0</v>
      </c>
      <c r="W55" s="3">
        <v>0</v>
      </c>
      <c r="X55" s="3">
        <v>40576464</v>
      </c>
      <c r="Y55" s="3">
        <v>0</v>
      </c>
      <c r="Z55" s="3">
        <f t="shared" si="0"/>
        <v>40576464</v>
      </c>
      <c r="AA55" t="s">
        <v>627</v>
      </c>
      <c r="AB55" s="19" t="s">
        <v>632</v>
      </c>
    </row>
    <row r="56" spans="1:28">
      <c r="A56" t="s">
        <v>248</v>
      </c>
      <c r="B56" s="2">
        <v>0</v>
      </c>
      <c r="C56" s="1" t="s">
        <v>26</v>
      </c>
      <c r="D56" t="s">
        <v>27</v>
      </c>
      <c r="E56" s="2" t="s">
        <v>254</v>
      </c>
      <c r="F56" s="2" t="s">
        <v>255</v>
      </c>
      <c r="G56" s="2">
        <v>444444551</v>
      </c>
      <c r="H56" s="2">
        <v>0</v>
      </c>
      <c r="I56" t="s">
        <v>251</v>
      </c>
      <c r="J56" s="2" t="s">
        <v>31</v>
      </c>
      <c r="K56" s="1" t="s">
        <v>32</v>
      </c>
      <c r="L56" t="s">
        <v>33</v>
      </c>
      <c r="M56" s="3" t="s">
        <v>61</v>
      </c>
      <c r="N56" s="3" t="s">
        <v>61</v>
      </c>
      <c r="O56" s="1" t="s">
        <v>46</v>
      </c>
      <c r="P56" s="1" t="s">
        <v>46</v>
      </c>
      <c r="Q56" t="s">
        <v>62</v>
      </c>
      <c r="R56" t="s">
        <v>256</v>
      </c>
      <c r="S56" s="4">
        <v>46002</v>
      </c>
      <c r="T56" s="4">
        <v>46092</v>
      </c>
      <c r="U56" s="3">
        <v>0</v>
      </c>
      <c r="V56" s="3">
        <v>0</v>
      </c>
      <c r="W56" s="3">
        <v>0</v>
      </c>
      <c r="X56" s="3">
        <v>0</v>
      </c>
      <c r="Y56" s="3">
        <v>187854000</v>
      </c>
      <c r="Z56" s="3">
        <f t="shared" si="0"/>
        <v>187854000</v>
      </c>
      <c r="AA56" t="s">
        <v>628</v>
      </c>
      <c r="AB56" s="19" t="s">
        <v>632</v>
      </c>
    </row>
    <row r="57" spans="1:28">
      <c r="A57" t="s">
        <v>257</v>
      </c>
      <c r="B57" s="2">
        <v>4</v>
      </c>
      <c r="C57" s="1" t="s">
        <v>26</v>
      </c>
      <c r="D57" t="s">
        <v>27</v>
      </c>
      <c r="E57" s="2" t="s">
        <v>258</v>
      </c>
      <c r="F57" s="2" t="s">
        <v>259</v>
      </c>
      <c r="G57" s="2">
        <v>890480184</v>
      </c>
      <c r="H57" s="2">
        <v>0</v>
      </c>
      <c r="I57" t="s">
        <v>260</v>
      </c>
      <c r="J57" s="2" t="s">
        <v>234</v>
      </c>
      <c r="K57" s="1" t="s">
        <v>235</v>
      </c>
      <c r="L57" t="s">
        <v>236</v>
      </c>
      <c r="M57" s="3">
        <v>124443035</v>
      </c>
      <c r="N57" s="3">
        <v>124443035</v>
      </c>
      <c r="O57" s="1" t="s">
        <v>261</v>
      </c>
      <c r="P57" s="1" t="s">
        <v>262</v>
      </c>
      <c r="Q57" t="s">
        <v>263</v>
      </c>
      <c r="R57" t="s">
        <v>264</v>
      </c>
      <c r="S57" s="4">
        <v>43100</v>
      </c>
      <c r="T57" s="4">
        <v>43026</v>
      </c>
      <c r="U57" s="3">
        <v>62221517.5</v>
      </c>
      <c r="V57" s="3">
        <v>0</v>
      </c>
      <c r="W57" s="3">
        <v>0</v>
      </c>
      <c r="X57" s="3">
        <v>0</v>
      </c>
      <c r="Y57" s="3">
        <v>0</v>
      </c>
      <c r="Z57" s="3">
        <f t="shared" si="0"/>
        <v>62221517.5</v>
      </c>
      <c r="AA57" t="s">
        <v>629</v>
      </c>
      <c r="AB57" s="19" t="s">
        <v>632</v>
      </c>
    </row>
    <row r="58" spans="1:28">
      <c r="A58" t="s">
        <v>257</v>
      </c>
      <c r="B58" s="2">
        <v>4</v>
      </c>
      <c r="C58" s="1" t="s">
        <v>26</v>
      </c>
      <c r="D58" t="s">
        <v>27</v>
      </c>
      <c r="E58" s="2" t="s">
        <v>258</v>
      </c>
      <c r="F58" s="2" t="s">
        <v>259</v>
      </c>
      <c r="G58" s="2">
        <v>890480184</v>
      </c>
      <c r="H58" s="2">
        <v>0</v>
      </c>
      <c r="I58" t="s">
        <v>260</v>
      </c>
      <c r="J58" s="2" t="s">
        <v>234</v>
      </c>
      <c r="K58" s="1" t="s">
        <v>235</v>
      </c>
      <c r="L58" t="s">
        <v>236</v>
      </c>
      <c r="M58" s="3" t="s">
        <v>61</v>
      </c>
      <c r="N58" s="3" t="s">
        <v>61</v>
      </c>
      <c r="O58" s="1" t="s">
        <v>46</v>
      </c>
      <c r="P58" s="1" t="s">
        <v>46</v>
      </c>
      <c r="Q58" t="s">
        <v>62</v>
      </c>
      <c r="R58" t="s">
        <v>265</v>
      </c>
      <c r="S58" s="4">
        <v>43100</v>
      </c>
      <c r="T58" s="4">
        <v>43026</v>
      </c>
      <c r="U58" s="3">
        <v>62221517.5</v>
      </c>
      <c r="V58" s="3">
        <v>0</v>
      </c>
      <c r="W58" s="3">
        <v>0</v>
      </c>
      <c r="X58" s="3">
        <v>0</v>
      </c>
      <c r="Y58" s="3">
        <v>0</v>
      </c>
      <c r="Z58" s="3">
        <f t="shared" si="0"/>
        <v>62221517.5</v>
      </c>
      <c r="AA58" t="s">
        <v>629</v>
      </c>
      <c r="AB58" s="19" t="s">
        <v>632</v>
      </c>
    </row>
    <row r="59" spans="1:28">
      <c r="A59" t="s">
        <v>266</v>
      </c>
      <c r="B59" s="2">
        <v>9</v>
      </c>
      <c r="C59" s="1" t="s">
        <v>26</v>
      </c>
      <c r="D59" t="s">
        <v>27</v>
      </c>
      <c r="E59" s="2" t="s">
        <v>267</v>
      </c>
      <c r="F59" s="2" t="s">
        <v>268</v>
      </c>
      <c r="G59" s="2">
        <v>816002019</v>
      </c>
      <c r="H59" s="2">
        <v>0</v>
      </c>
      <c r="I59" t="s">
        <v>269</v>
      </c>
      <c r="J59" s="2" t="s">
        <v>270</v>
      </c>
      <c r="K59" s="1" t="s">
        <v>271</v>
      </c>
      <c r="L59" t="s">
        <v>173</v>
      </c>
      <c r="M59" s="3">
        <v>42382964.890000001</v>
      </c>
      <c r="N59" s="3">
        <v>0</v>
      </c>
      <c r="O59" s="1" t="s">
        <v>272</v>
      </c>
      <c r="P59" s="1" t="s">
        <v>273</v>
      </c>
      <c r="Q59" t="s">
        <v>213</v>
      </c>
      <c r="R59" t="s">
        <v>274</v>
      </c>
      <c r="S59" s="4">
        <v>46006</v>
      </c>
      <c r="T59" s="4">
        <v>46051</v>
      </c>
      <c r="U59" s="3">
        <v>0</v>
      </c>
      <c r="V59" s="3">
        <v>0</v>
      </c>
      <c r="W59" s="3">
        <v>0</v>
      </c>
      <c r="X59" s="3">
        <v>0</v>
      </c>
      <c r="Y59" s="3">
        <v>35918816.810000002</v>
      </c>
      <c r="Z59" s="3">
        <f t="shared" si="0"/>
        <v>35918816.810000002</v>
      </c>
      <c r="AA59" t="s">
        <v>628</v>
      </c>
      <c r="AB59" s="19" t="s">
        <v>632</v>
      </c>
    </row>
    <row r="60" spans="1:28">
      <c r="A60" t="s">
        <v>266</v>
      </c>
      <c r="B60" s="2">
        <v>9</v>
      </c>
      <c r="C60" s="1" t="s">
        <v>26</v>
      </c>
      <c r="D60" t="s">
        <v>27</v>
      </c>
      <c r="E60" s="2" t="s">
        <v>267</v>
      </c>
      <c r="F60" s="2" t="s">
        <v>268</v>
      </c>
      <c r="G60" s="2">
        <v>816002019</v>
      </c>
      <c r="H60" s="2">
        <v>0</v>
      </c>
      <c r="I60" t="s">
        <v>269</v>
      </c>
      <c r="J60" s="2" t="s">
        <v>270</v>
      </c>
      <c r="K60" s="1" t="s">
        <v>271</v>
      </c>
      <c r="L60" t="s">
        <v>173</v>
      </c>
      <c r="M60" s="3" t="s">
        <v>61</v>
      </c>
      <c r="N60" s="3" t="s">
        <v>61</v>
      </c>
      <c r="O60" s="1" t="s">
        <v>46</v>
      </c>
      <c r="P60" s="1" t="s">
        <v>46</v>
      </c>
      <c r="Q60" t="s">
        <v>62</v>
      </c>
      <c r="R60" t="s">
        <v>275</v>
      </c>
      <c r="S60" s="4">
        <v>46006</v>
      </c>
      <c r="T60" s="4">
        <v>46051</v>
      </c>
      <c r="U60" s="3">
        <v>0</v>
      </c>
      <c r="V60" s="3">
        <v>0</v>
      </c>
      <c r="W60" s="3">
        <v>0</v>
      </c>
      <c r="X60" s="3">
        <v>0</v>
      </c>
      <c r="Y60" s="3">
        <v>6464148.0800000001</v>
      </c>
      <c r="Z60" s="3">
        <f t="shared" si="0"/>
        <v>6464148.0800000001</v>
      </c>
      <c r="AA60" t="s">
        <v>628</v>
      </c>
      <c r="AB60" s="19" t="s">
        <v>632</v>
      </c>
    </row>
    <row r="61" spans="1:28">
      <c r="A61" t="s">
        <v>276</v>
      </c>
      <c r="B61" s="2">
        <v>1</v>
      </c>
      <c r="C61" s="1" t="s">
        <v>26</v>
      </c>
      <c r="D61" t="s">
        <v>27</v>
      </c>
      <c r="E61" s="2" t="s">
        <v>277</v>
      </c>
      <c r="F61" s="2" t="s">
        <v>278</v>
      </c>
      <c r="G61" s="2">
        <v>830031333</v>
      </c>
      <c r="H61" s="2">
        <v>0</v>
      </c>
      <c r="I61" t="s">
        <v>279</v>
      </c>
      <c r="J61" s="2" t="s">
        <v>53</v>
      </c>
      <c r="K61" s="1" t="s">
        <v>54</v>
      </c>
      <c r="L61" t="s">
        <v>55</v>
      </c>
      <c r="M61" s="3">
        <v>113587480</v>
      </c>
      <c r="N61" s="3">
        <v>113587480</v>
      </c>
      <c r="O61" s="1" t="s">
        <v>280</v>
      </c>
      <c r="P61" s="1" t="s">
        <v>281</v>
      </c>
      <c r="Q61" t="s">
        <v>47</v>
      </c>
      <c r="R61" t="s">
        <v>282</v>
      </c>
      <c r="S61" s="4">
        <v>44736</v>
      </c>
      <c r="T61" s="4">
        <v>44766</v>
      </c>
      <c r="U61" s="3">
        <v>113587480</v>
      </c>
      <c r="V61" s="3">
        <v>0</v>
      </c>
      <c r="W61" s="3">
        <v>0</v>
      </c>
      <c r="X61" s="3">
        <v>0</v>
      </c>
      <c r="Y61" s="3">
        <v>0</v>
      </c>
      <c r="Z61" s="3">
        <f t="shared" si="0"/>
        <v>113587480</v>
      </c>
      <c r="AA61" t="s">
        <v>629</v>
      </c>
      <c r="AB61" s="19" t="s">
        <v>632</v>
      </c>
    </row>
    <row r="62" spans="1:28">
      <c r="A62" t="s">
        <v>283</v>
      </c>
      <c r="B62" s="2">
        <v>6</v>
      </c>
      <c r="C62" s="1" t="s">
        <v>26</v>
      </c>
      <c r="D62" t="s">
        <v>27</v>
      </c>
      <c r="E62" s="2" t="s">
        <v>284</v>
      </c>
      <c r="F62" s="2" t="s">
        <v>285</v>
      </c>
      <c r="G62" s="2">
        <v>800131648</v>
      </c>
      <c r="H62" s="2">
        <v>0</v>
      </c>
      <c r="I62" t="s">
        <v>286</v>
      </c>
      <c r="J62" s="2" t="s">
        <v>234</v>
      </c>
      <c r="K62" s="1" t="s">
        <v>235</v>
      </c>
      <c r="L62" t="s">
        <v>236</v>
      </c>
      <c r="M62" s="3">
        <v>374999940</v>
      </c>
      <c r="N62" s="3">
        <v>374999940</v>
      </c>
      <c r="O62" s="1" t="s">
        <v>287</v>
      </c>
      <c r="P62" s="1" t="s">
        <v>288</v>
      </c>
      <c r="Q62" t="s">
        <v>47</v>
      </c>
      <c r="R62" t="s">
        <v>289</v>
      </c>
      <c r="S62" s="4">
        <v>46006</v>
      </c>
      <c r="T62" s="4">
        <v>46037</v>
      </c>
      <c r="U62" s="3">
        <v>0</v>
      </c>
      <c r="V62" s="3">
        <v>0</v>
      </c>
      <c r="W62" s="3">
        <v>0</v>
      </c>
      <c r="X62" s="3">
        <v>0</v>
      </c>
      <c r="Y62" s="3">
        <v>374999940</v>
      </c>
      <c r="Z62" s="3">
        <f t="shared" si="0"/>
        <v>374999940</v>
      </c>
      <c r="AA62" t="s">
        <v>627</v>
      </c>
      <c r="AB62" s="19" t="s">
        <v>632</v>
      </c>
    </row>
    <row r="63" spans="1:28">
      <c r="A63" t="s">
        <v>290</v>
      </c>
      <c r="B63" s="2">
        <v>1</v>
      </c>
      <c r="C63" s="1" t="s">
        <v>26</v>
      </c>
      <c r="D63" t="s">
        <v>27</v>
      </c>
      <c r="E63" s="2" t="s">
        <v>291</v>
      </c>
      <c r="F63" s="2" t="s">
        <v>292</v>
      </c>
      <c r="G63" s="2">
        <v>900097588</v>
      </c>
      <c r="H63" s="2">
        <v>0</v>
      </c>
      <c r="I63" t="s">
        <v>293</v>
      </c>
      <c r="J63" s="2" t="s">
        <v>53</v>
      </c>
      <c r="K63" s="1" t="s">
        <v>54</v>
      </c>
      <c r="L63" t="s">
        <v>55</v>
      </c>
      <c r="M63" s="3">
        <v>12452160</v>
      </c>
      <c r="N63" s="3">
        <v>0</v>
      </c>
      <c r="O63" s="1" t="s">
        <v>294</v>
      </c>
      <c r="P63" s="1" t="s">
        <v>295</v>
      </c>
      <c r="Q63" t="s">
        <v>47</v>
      </c>
      <c r="R63" t="s">
        <v>296</v>
      </c>
      <c r="S63" s="4">
        <v>46028</v>
      </c>
      <c r="T63" s="4">
        <v>46059</v>
      </c>
      <c r="U63" s="3">
        <v>0</v>
      </c>
      <c r="V63" s="3">
        <v>0</v>
      </c>
      <c r="W63" s="3">
        <v>0</v>
      </c>
      <c r="X63" s="3">
        <v>0</v>
      </c>
      <c r="Y63" s="3">
        <v>12452160</v>
      </c>
      <c r="Z63" s="3">
        <f t="shared" si="0"/>
        <v>12452160</v>
      </c>
      <c r="AA63" t="s">
        <v>628</v>
      </c>
      <c r="AB63" s="19" t="s">
        <v>632</v>
      </c>
    </row>
    <row r="64" spans="1:28">
      <c r="A64" t="s">
        <v>297</v>
      </c>
      <c r="B64" s="2">
        <v>5</v>
      </c>
      <c r="C64" s="1" t="s">
        <v>26</v>
      </c>
      <c r="D64" t="s">
        <v>27</v>
      </c>
      <c r="E64" s="2" t="s">
        <v>120</v>
      </c>
      <c r="F64" s="2" t="s">
        <v>121</v>
      </c>
      <c r="G64" s="2">
        <v>860070624</v>
      </c>
      <c r="H64" s="2">
        <v>0</v>
      </c>
      <c r="I64" t="s">
        <v>298</v>
      </c>
      <c r="J64" s="2" t="s">
        <v>77</v>
      </c>
      <c r="K64" s="1" t="s">
        <v>78</v>
      </c>
      <c r="L64" t="s">
        <v>79</v>
      </c>
      <c r="M64" s="3">
        <v>2994571.13</v>
      </c>
      <c r="N64" s="3">
        <v>2994571.13</v>
      </c>
      <c r="O64" s="1" t="s">
        <v>299</v>
      </c>
      <c r="P64" s="1" t="s">
        <v>300</v>
      </c>
      <c r="Q64" t="s">
        <v>47</v>
      </c>
      <c r="R64" t="s">
        <v>301</v>
      </c>
      <c r="S64" s="4">
        <v>45995</v>
      </c>
      <c r="T64" s="4">
        <v>46026</v>
      </c>
      <c r="U64" s="3">
        <v>0</v>
      </c>
      <c r="V64" s="3">
        <v>0</v>
      </c>
      <c r="W64" s="3">
        <v>0</v>
      </c>
      <c r="X64" s="3">
        <v>0</v>
      </c>
      <c r="Y64" s="3">
        <v>2994571.13</v>
      </c>
      <c r="Z64" s="3">
        <f t="shared" si="0"/>
        <v>2994571.13</v>
      </c>
      <c r="AA64" t="s">
        <v>627</v>
      </c>
      <c r="AB64" s="19" t="s">
        <v>632</v>
      </c>
    </row>
    <row r="65" spans="1:28">
      <c r="A65" t="s">
        <v>302</v>
      </c>
      <c r="B65" s="2">
        <v>5</v>
      </c>
      <c r="C65" s="1" t="s">
        <v>26</v>
      </c>
      <c r="D65" t="s">
        <v>27</v>
      </c>
      <c r="E65" s="2" t="s">
        <v>120</v>
      </c>
      <c r="F65" s="2" t="s">
        <v>121</v>
      </c>
      <c r="G65" s="2">
        <v>830035904</v>
      </c>
      <c r="H65" s="2">
        <v>0</v>
      </c>
      <c r="I65" t="s">
        <v>303</v>
      </c>
      <c r="J65" s="2" t="s">
        <v>77</v>
      </c>
      <c r="K65" s="1" t="s">
        <v>78</v>
      </c>
      <c r="L65" t="s">
        <v>79</v>
      </c>
      <c r="M65" s="3">
        <v>291704111.33999997</v>
      </c>
      <c r="N65" s="3">
        <v>199646024.96000001</v>
      </c>
      <c r="O65" s="1" t="s">
        <v>304</v>
      </c>
      <c r="P65" s="1" t="s">
        <v>305</v>
      </c>
      <c r="Q65" t="s">
        <v>47</v>
      </c>
      <c r="R65" t="s">
        <v>306</v>
      </c>
      <c r="S65" s="4">
        <v>45995</v>
      </c>
      <c r="T65" s="4">
        <v>46026</v>
      </c>
      <c r="U65" s="3">
        <v>0</v>
      </c>
      <c r="V65" s="3">
        <v>0</v>
      </c>
      <c r="W65" s="3">
        <v>0</v>
      </c>
      <c r="X65" s="3">
        <v>0</v>
      </c>
      <c r="Y65" s="3">
        <v>16951560.68</v>
      </c>
      <c r="Z65" s="3">
        <f t="shared" si="0"/>
        <v>16951560.68</v>
      </c>
      <c r="AA65" t="s">
        <v>627</v>
      </c>
      <c r="AB65" s="19" t="s">
        <v>632</v>
      </c>
    </row>
    <row r="66" spans="1:28">
      <c r="A66" t="s">
        <v>302</v>
      </c>
      <c r="B66" s="2">
        <v>5</v>
      </c>
      <c r="C66" s="1" t="s">
        <v>26</v>
      </c>
      <c r="D66" t="s">
        <v>27</v>
      </c>
      <c r="E66" s="2" t="s">
        <v>249</v>
      </c>
      <c r="F66" s="2" t="s">
        <v>250</v>
      </c>
      <c r="G66" s="2">
        <v>830035904</v>
      </c>
      <c r="H66" s="2">
        <v>0</v>
      </c>
      <c r="I66" t="s">
        <v>303</v>
      </c>
      <c r="J66" s="2" t="s">
        <v>77</v>
      </c>
      <c r="K66" s="1" t="s">
        <v>78</v>
      </c>
      <c r="L66" t="s">
        <v>79</v>
      </c>
      <c r="M66" s="3" t="s">
        <v>61</v>
      </c>
      <c r="N66" s="3" t="s">
        <v>61</v>
      </c>
      <c r="O66" s="1" t="s">
        <v>46</v>
      </c>
      <c r="P66" s="1" t="s">
        <v>46</v>
      </c>
      <c r="Q66" t="s">
        <v>62</v>
      </c>
      <c r="R66" t="s">
        <v>307</v>
      </c>
      <c r="S66" s="4">
        <v>46003</v>
      </c>
      <c r="T66" s="4">
        <v>46034</v>
      </c>
      <c r="U66" s="3">
        <v>0</v>
      </c>
      <c r="V66" s="3">
        <v>0</v>
      </c>
      <c r="W66" s="3">
        <v>0</v>
      </c>
      <c r="X66" s="3">
        <v>0</v>
      </c>
      <c r="Y66" s="3">
        <v>91347232.140000001</v>
      </c>
      <c r="Z66" s="3">
        <f t="shared" si="0"/>
        <v>91347232.140000001</v>
      </c>
      <c r="AA66" t="s">
        <v>627</v>
      </c>
      <c r="AB66" s="19" t="s">
        <v>632</v>
      </c>
    </row>
    <row r="67" spans="1:28">
      <c r="A67" t="s">
        <v>302</v>
      </c>
      <c r="B67" s="2">
        <v>5</v>
      </c>
      <c r="C67" s="1" t="s">
        <v>26</v>
      </c>
      <c r="D67" t="s">
        <v>27</v>
      </c>
      <c r="E67" s="2" t="s">
        <v>249</v>
      </c>
      <c r="F67" s="2" t="s">
        <v>250</v>
      </c>
      <c r="G67" s="2">
        <v>830035904</v>
      </c>
      <c r="H67" s="2">
        <v>0</v>
      </c>
      <c r="I67" t="s">
        <v>303</v>
      </c>
      <c r="J67" s="2" t="s">
        <v>77</v>
      </c>
      <c r="K67" s="1" t="s">
        <v>78</v>
      </c>
      <c r="L67" t="s">
        <v>79</v>
      </c>
      <c r="M67" s="3" t="s">
        <v>61</v>
      </c>
      <c r="N67" s="3" t="s">
        <v>61</v>
      </c>
      <c r="O67" s="1" t="s">
        <v>46</v>
      </c>
      <c r="P67" s="1" t="s">
        <v>46</v>
      </c>
      <c r="Q67" t="s">
        <v>62</v>
      </c>
      <c r="R67" t="s">
        <v>308</v>
      </c>
      <c r="S67" s="4">
        <v>46003</v>
      </c>
      <c r="T67" s="4">
        <v>46034</v>
      </c>
      <c r="U67" s="3">
        <v>0</v>
      </c>
      <c r="V67" s="3">
        <v>0</v>
      </c>
      <c r="W67" s="3">
        <v>0</v>
      </c>
      <c r="X67" s="3">
        <v>0</v>
      </c>
      <c r="Y67" s="3">
        <v>91347232.140000001</v>
      </c>
      <c r="Z67" s="3">
        <f t="shared" si="0"/>
        <v>91347232.140000001</v>
      </c>
      <c r="AA67" t="s">
        <v>627</v>
      </c>
      <c r="AB67" s="19" t="s">
        <v>632</v>
      </c>
    </row>
    <row r="68" spans="1:28">
      <c r="A68" t="s">
        <v>302</v>
      </c>
      <c r="B68" s="2">
        <v>5</v>
      </c>
      <c r="C68" s="1" t="s">
        <v>26</v>
      </c>
      <c r="D68" t="s">
        <v>27</v>
      </c>
      <c r="E68" s="2" t="s">
        <v>249</v>
      </c>
      <c r="F68" s="2" t="s">
        <v>250</v>
      </c>
      <c r="G68" s="2">
        <v>830035904</v>
      </c>
      <c r="H68" s="2">
        <v>0</v>
      </c>
      <c r="I68" t="s">
        <v>303</v>
      </c>
      <c r="J68" s="2" t="s">
        <v>77</v>
      </c>
      <c r="K68" s="1" t="s">
        <v>78</v>
      </c>
      <c r="L68" t="s">
        <v>79</v>
      </c>
      <c r="M68" s="3" t="s">
        <v>61</v>
      </c>
      <c r="N68" s="3" t="s">
        <v>61</v>
      </c>
      <c r="O68" s="1" t="s">
        <v>46</v>
      </c>
      <c r="P68" s="1" t="s">
        <v>46</v>
      </c>
      <c r="Q68" t="s">
        <v>62</v>
      </c>
      <c r="R68" t="s">
        <v>309</v>
      </c>
      <c r="S68" s="4">
        <v>46038</v>
      </c>
      <c r="T68" s="4">
        <v>46045</v>
      </c>
      <c r="U68" s="3">
        <v>0</v>
      </c>
      <c r="V68" s="3">
        <v>0</v>
      </c>
      <c r="W68" s="3">
        <v>0</v>
      </c>
      <c r="X68" s="3">
        <v>0</v>
      </c>
      <c r="Y68" s="3">
        <v>92058086.379999995</v>
      </c>
      <c r="Z68" s="3">
        <f t="shared" si="0"/>
        <v>92058086.379999995</v>
      </c>
      <c r="AA68" t="s">
        <v>628</v>
      </c>
      <c r="AB68" s="19" t="s">
        <v>632</v>
      </c>
    </row>
    <row r="69" spans="1:28">
      <c r="A69" t="s">
        <v>310</v>
      </c>
      <c r="B69" s="2">
        <v>6</v>
      </c>
      <c r="C69" s="1" t="s">
        <v>26</v>
      </c>
      <c r="D69" t="s">
        <v>27</v>
      </c>
      <c r="E69" s="2" t="s">
        <v>311</v>
      </c>
      <c r="F69" s="2" t="s">
        <v>312</v>
      </c>
      <c r="G69" s="2">
        <v>860533413</v>
      </c>
      <c r="H69" s="2">
        <v>0</v>
      </c>
      <c r="I69" t="s">
        <v>313</v>
      </c>
      <c r="J69" s="2" t="s">
        <v>93</v>
      </c>
      <c r="K69" s="1" t="s">
        <v>94</v>
      </c>
      <c r="L69" t="s">
        <v>95</v>
      </c>
      <c r="M69" s="3">
        <v>17422500</v>
      </c>
      <c r="N69" s="3">
        <v>0</v>
      </c>
      <c r="O69" s="1" t="s">
        <v>314</v>
      </c>
      <c r="P69" s="1" t="s">
        <v>46</v>
      </c>
      <c r="Q69" t="s">
        <v>81</v>
      </c>
      <c r="R69" t="s">
        <v>315</v>
      </c>
      <c r="S69" s="4">
        <v>46014</v>
      </c>
      <c r="T69" s="4">
        <v>46045</v>
      </c>
      <c r="U69" s="3">
        <v>0</v>
      </c>
      <c r="V69" s="3">
        <v>0</v>
      </c>
      <c r="W69" s="3">
        <v>0</v>
      </c>
      <c r="X69" s="3">
        <v>0</v>
      </c>
      <c r="Y69" s="3">
        <v>17422500</v>
      </c>
      <c r="Z69" s="3">
        <f t="shared" si="0"/>
        <v>17422500</v>
      </c>
      <c r="AA69" t="s">
        <v>628</v>
      </c>
      <c r="AB69" s="19" t="s">
        <v>632</v>
      </c>
    </row>
    <row r="70" spans="1:28">
      <c r="A70" t="s">
        <v>316</v>
      </c>
      <c r="B70" s="2">
        <v>3</v>
      </c>
      <c r="C70" s="1" t="s">
        <v>26</v>
      </c>
      <c r="D70" t="s">
        <v>27</v>
      </c>
      <c r="E70" s="2" t="s">
        <v>317</v>
      </c>
      <c r="F70" s="2" t="s">
        <v>318</v>
      </c>
      <c r="G70" s="2">
        <v>4444444472</v>
      </c>
      <c r="H70" s="2">
        <v>0</v>
      </c>
      <c r="I70" t="s">
        <v>319</v>
      </c>
      <c r="J70" s="2" t="s">
        <v>31</v>
      </c>
      <c r="K70" s="1" t="s">
        <v>32</v>
      </c>
      <c r="L70" t="s">
        <v>33</v>
      </c>
      <c r="M70" s="3">
        <v>234817500</v>
      </c>
      <c r="N70" s="3">
        <v>0</v>
      </c>
      <c r="O70" s="1" t="s">
        <v>320</v>
      </c>
      <c r="P70" s="1" t="s">
        <v>46</v>
      </c>
      <c r="Q70" t="s">
        <v>321</v>
      </c>
      <c r="R70" t="s">
        <v>322</v>
      </c>
      <c r="S70" s="4">
        <v>46021</v>
      </c>
      <c r="T70" s="4">
        <v>46052</v>
      </c>
      <c r="U70" s="3">
        <v>0</v>
      </c>
      <c r="V70" s="3">
        <v>0</v>
      </c>
      <c r="W70" s="3">
        <v>0</v>
      </c>
      <c r="X70" s="3">
        <v>0</v>
      </c>
      <c r="Y70" s="3">
        <v>105198240</v>
      </c>
      <c r="Z70" s="3">
        <f t="shared" si="0"/>
        <v>105198240</v>
      </c>
      <c r="AA70" t="s">
        <v>628</v>
      </c>
      <c r="AB70" s="19" t="s">
        <v>632</v>
      </c>
    </row>
    <row r="71" spans="1:28">
      <c r="A71" t="s">
        <v>316</v>
      </c>
      <c r="B71" s="2">
        <v>3</v>
      </c>
      <c r="C71" s="1" t="s">
        <v>26</v>
      </c>
      <c r="D71" t="s">
        <v>27</v>
      </c>
      <c r="E71" s="2" t="s">
        <v>323</v>
      </c>
      <c r="F71" s="2" t="s">
        <v>324</v>
      </c>
      <c r="G71" s="2">
        <v>4444444472</v>
      </c>
      <c r="H71" s="2">
        <v>0</v>
      </c>
      <c r="I71" t="s">
        <v>319</v>
      </c>
      <c r="J71" s="2" t="s">
        <v>31</v>
      </c>
      <c r="K71" s="1" t="s">
        <v>32</v>
      </c>
      <c r="L71" t="s">
        <v>33</v>
      </c>
      <c r="M71" s="3" t="s">
        <v>61</v>
      </c>
      <c r="N71" s="3" t="s">
        <v>61</v>
      </c>
      <c r="O71" s="1" t="s">
        <v>46</v>
      </c>
      <c r="P71" s="1" t="s">
        <v>46</v>
      </c>
      <c r="Q71" t="s">
        <v>62</v>
      </c>
      <c r="R71" t="s">
        <v>325</v>
      </c>
      <c r="S71" s="4">
        <v>46021</v>
      </c>
      <c r="T71" s="4">
        <v>46052</v>
      </c>
      <c r="U71" s="3">
        <v>0</v>
      </c>
      <c r="V71" s="3">
        <v>0</v>
      </c>
      <c r="W71" s="3">
        <v>0</v>
      </c>
      <c r="X71" s="3">
        <v>0</v>
      </c>
      <c r="Y71" s="3">
        <v>129619260</v>
      </c>
      <c r="Z71" s="3">
        <f t="shared" si="0"/>
        <v>129619260</v>
      </c>
      <c r="AA71" t="s">
        <v>628</v>
      </c>
      <c r="AB71" s="19" t="s">
        <v>632</v>
      </c>
    </row>
    <row r="72" spans="1:28">
      <c r="A72" t="s">
        <v>326</v>
      </c>
      <c r="B72" s="2">
        <v>5</v>
      </c>
      <c r="C72" s="1" t="s">
        <v>26</v>
      </c>
      <c r="D72" t="s">
        <v>27</v>
      </c>
      <c r="E72" s="2" t="s">
        <v>249</v>
      </c>
      <c r="F72" s="2" t="s">
        <v>250</v>
      </c>
      <c r="G72" s="2">
        <v>901892309</v>
      </c>
      <c r="H72" s="2">
        <v>0</v>
      </c>
      <c r="I72" t="s">
        <v>327</v>
      </c>
      <c r="J72" s="2" t="s">
        <v>328</v>
      </c>
      <c r="K72" s="1" t="s">
        <v>329</v>
      </c>
      <c r="L72" t="s">
        <v>330</v>
      </c>
      <c r="M72" s="3">
        <v>33643498.32</v>
      </c>
      <c r="N72" s="3">
        <v>33643498.32</v>
      </c>
      <c r="O72" s="1" t="s">
        <v>331</v>
      </c>
      <c r="P72" s="1" t="s">
        <v>46</v>
      </c>
      <c r="Q72" t="s">
        <v>47</v>
      </c>
      <c r="R72" t="s">
        <v>332</v>
      </c>
      <c r="S72" s="4">
        <v>45972</v>
      </c>
      <c r="T72" s="4">
        <v>46002</v>
      </c>
      <c r="U72" s="3">
        <v>0</v>
      </c>
      <c r="V72" s="3">
        <v>0</v>
      </c>
      <c r="W72" s="3">
        <v>0</v>
      </c>
      <c r="X72" s="3">
        <v>5934968</v>
      </c>
      <c r="Y72" s="3">
        <v>0</v>
      </c>
      <c r="Z72" s="3">
        <f t="shared" si="0"/>
        <v>5934968</v>
      </c>
      <c r="AA72" t="s">
        <v>627</v>
      </c>
      <c r="AB72" s="19" t="s">
        <v>632</v>
      </c>
    </row>
    <row r="73" spans="1:28">
      <c r="A73" t="s">
        <v>326</v>
      </c>
      <c r="B73" s="2">
        <v>5</v>
      </c>
      <c r="C73" s="1" t="s">
        <v>26</v>
      </c>
      <c r="D73" t="s">
        <v>27</v>
      </c>
      <c r="E73" s="2" t="s">
        <v>249</v>
      </c>
      <c r="F73" s="2" t="s">
        <v>250</v>
      </c>
      <c r="G73" s="2">
        <v>901892309</v>
      </c>
      <c r="H73" s="2">
        <v>0</v>
      </c>
      <c r="I73" t="s">
        <v>327</v>
      </c>
      <c r="J73" s="2" t="s">
        <v>328</v>
      </c>
      <c r="K73" s="1" t="s">
        <v>329</v>
      </c>
      <c r="L73" t="s">
        <v>330</v>
      </c>
      <c r="M73" s="3" t="s">
        <v>61</v>
      </c>
      <c r="N73" s="3" t="s">
        <v>61</v>
      </c>
      <c r="O73" s="1" t="s">
        <v>46</v>
      </c>
      <c r="P73" s="1" t="s">
        <v>46</v>
      </c>
      <c r="Q73" t="s">
        <v>62</v>
      </c>
      <c r="R73" t="s">
        <v>333</v>
      </c>
      <c r="S73" s="4">
        <v>45987</v>
      </c>
      <c r="T73" s="4">
        <v>46017</v>
      </c>
      <c r="U73" s="3">
        <v>0</v>
      </c>
      <c r="V73" s="3">
        <v>0</v>
      </c>
      <c r="W73" s="3">
        <v>0</v>
      </c>
      <c r="X73" s="3">
        <v>0</v>
      </c>
      <c r="Y73" s="3">
        <v>9903626.3200000003</v>
      </c>
      <c r="Z73" s="3">
        <f t="shared" ref="Z73:Z136" si="1">SUM(U73:Y73)</f>
        <v>9903626.3200000003</v>
      </c>
      <c r="AA73" t="s">
        <v>627</v>
      </c>
      <c r="AB73" s="19" t="s">
        <v>632</v>
      </c>
    </row>
    <row r="74" spans="1:28">
      <c r="A74" t="s">
        <v>326</v>
      </c>
      <c r="B74" s="2">
        <v>5</v>
      </c>
      <c r="C74" s="1" t="s">
        <v>26</v>
      </c>
      <c r="D74" t="s">
        <v>27</v>
      </c>
      <c r="E74" s="2" t="s">
        <v>249</v>
      </c>
      <c r="F74" s="2" t="s">
        <v>250</v>
      </c>
      <c r="G74" s="2">
        <v>901892309</v>
      </c>
      <c r="H74" s="2">
        <v>0</v>
      </c>
      <c r="I74" t="s">
        <v>327</v>
      </c>
      <c r="J74" s="2" t="s">
        <v>328</v>
      </c>
      <c r="K74" s="1" t="s">
        <v>329</v>
      </c>
      <c r="L74" t="s">
        <v>330</v>
      </c>
      <c r="M74" s="3" t="s">
        <v>61</v>
      </c>
      <c r="N74" s="3" t="s">
        <v>61</v>
      </c>
      <c r="O74" s="1" t="s">
        <v>46</v>
      </c>
      <c r="P74" s="1" t="s">
        <v>46</v>
      </c>
      <c r="Q74" t="s">
        <v>62</v>
      </c>
      <c r="R74" t="s">
        <v>334</v>
      </c>
      <c r="S74" s="4">
        <v>45996</v>
      </c>
      <c r="T74" s="4">
        <v>46027</v>
      </c>
      <c r="U74" s="3">
        <v>0</v>
      </c>
      <c r="V74" s="3">
        <v>0</v>
      </c>
      <c r="W74" s="3">
        <v>0</v>
      </c>
      <c r="X74" s="3">
        <v>0</v>
      </c>
      <c r="Y74" s="3">
        <v>17804904</v>
      </c>
      <c r="Z74" s="3">
        <f t="shared" si="1"/>
        <v>17804904</v>
      </c>
      <c r="AA74" t="s">
        <v>627</v>
      </c>
      <c r="AB74" s="19" t="s">
        <v>632</v>
      </c>
    </row>
    <row r="75" spans="1:28">
      <c r="A75" t="s">
        <v>335</v>
      </c>
      <c r="B75" s="2">
        <v>1</v>
      </c>
      <c r="C75" s="1" t="s">
        <v>26</v>
      </c>
      <c r="D75" t="s">
        <v>27</v>
      </c>
      <c r="E75" s="2" t="s">
        <v>336</v>
      </c>
      <c r="F75" s="2" t="s">
        <v>337</v>
      </c>
      <c r="G75" s="2">
        <v>444444537</v>
      </c>
      <c r="H75" s="2">
        <v>0</v>
      </c>
      <c r="I75" t="s">
        <v>338</v>
      </c>
      <c r="J75" s="2" t="s">
        <v>31</v>
      </c>
      <c r="K75" s="1" t="s">
        <v>32</v>
      </c>
      <c r="L75" t="s">
        <v>33</v>
      </c>
      <c r="M75" s="3">
        <v>7432175.7199999997</v>
      </c>
      <c r="N75" s="3">
        <v>7432175.7199999997</v>
      </c>
      <c r="O75" s="1" t="s">
        <v>339</v>
      </c>
      <c r="P75" s="1" t="s">
        <v>46</v>
      </c>
      <c r="Q75" t="s">
        <v>340</v>
      </c>
      <c r="R75" t="s">
        <v>341</v>
      </c>
      <c r="S75" s="4">
        <v>45286</v>
      </c>
      <c r="T75" s="4">
        <v>45317</v>
      </c>
      <c r="U75" s="3">
        <v>7432175.7199999997</v>
      </c>
      <c r="V75" s="3">
        <v>0</v>
      </c>
      <c r="W75" s="3">
        <v>0</v>
      </c>
      <c r="X75" s="3">
        <v>0</v>
      </c>
      <c r="Y75" s="3">
        <v>0</v>
      </c>
      <c r="Z75" s="3">
        <f t="shared" si="1"/>
        <v>7432175.7199999997</v>
      </c>
      <c r="AA75" t="s">
        <v>627</v>
      </c>
      <c r="AB75" s="19" t="s">
        <v>632</v>
      </c>
    </row>
    <row r="76" spans="1:28">
      <c r="A76" t="s">
        <v>342</v>
      </c>
      <c r="B76" s="2">
        <v>9</v>
      </c>
      <c r="C76" s="1" t="s">
        <v>26</v>
      </c>
      <c r="D76" t="s">
        <v>27</v>
      </c>
      <c r="E76" s="2" t="s">
        <v>343</v>
      </c>
      <c r="F76" s="2" t="s">
        <v>344</v>
      </c>
      <c r="G76" s="2">
        <v>444444495</v>
      </c>
      <c r="H76" s="2">
        <v>0</v>
      </c>
      <c r="I76" t="s">
        <v>345</v>
      </c>
      <c r="J76" s="2" t="s">
        <v>31</v>
      </c>
      <c r="K76" s="1" t="s">
        <v>32</v>
      </c>
      <c r="L76" t="s">
        <v>33</v>
      </c>
      <c r="M76" s="3">
        <v>0</v>
      </c>
      <c r="N76" s="3">
        <v>0</v>
      </c>
      <c r="O76" s="1" t="s">
        <v>346</v>
      </c>
      <c r="P76" s="1" t="s">
        <v>46</v>
      </c>
      <c r="Q76" t="s">
        <v>347</v>
      </c>
      <c r="R76" t="s">
        <v>348</v>
      </c>
      <c r="S76" s="4">
        <v>46003</v>
      </c>
      <c r="T76" s="4">
        <v>46034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f t="shared" si="1"/>
        <v>0</v>
      </c>
      <c r="AA76" t="s">
        <v>627</v>
      </c>
      <c r="AB76" s="19" t="s">
        <v>632</v>
      </c>
    </row>
    <row r="77" spans="1:28">
      <c r="A77" t="s">
        <v>349</v>
      </c>
      <c r="B77" s="2">
        <v>8</v>
      </c>
      <c r="C77" s="1" t="s">
        <v>26</v>
      </c>
      <c r="D77" t="s">
        <v>27</v>
      </c>
      <c r="E77" s="2" t="s">
        <v>120</v>
      </c>
      <c r="F77" s="2" t="s">
        <v>121</v>
      </c>
      <c r="G77" s="2">
        <v>900700061</v>
      </c>
      <c r="H77" s="2">
        <v>0</v>
      </c>
      <c r="I77" t="s">
        <v>350</v>
      </c>
      <c r="J77" s="2" t="s">
        <v>77</v>
      </c>
      <c r="K77" s="1" t="s">
        <v>78</v>
      </c>
      <c r="L77" t="s">
        <v>79</v>
      </c>
      <c r="M77" s="3">
        <v>97536.43</v>
      </c>
      <c r="N77" s="3">
        <v>0</v>
      </c>
      <c r="O77" s="1" t="s">
        <v>123</v>
      </c>
      <c r="P77" s="1" t="s">
        <v>46</v>
      </c>
      <c r="Q77" t="s">
        <v>47</v>
      </c>
      <c r="R77" t="s">
        <v>351</v>
      </c>
      <c r="S77" s="4">
        <v>46038</v>
      </c>
      <c r="T77" s="4">
        <v>46069</v>
      </c>
      <c r="U77" s="3">
        <v>0</v>
      </c>
      <c r="V77" s="3">
        <v>0</v>
      </c>
      <c r="W77" s="3">
        <v>0</v>
      </c>
      <c r="X77" s="3">
        <v>0</v>
      </c>
      <c r="Y77" s="3">
        <v>97536.43</v>
      </c>
      <c r="Z77" s="3">
        <f t="shared" si="1"/>
        <v>97536.43</v>
      </c>
      <c r="AA77" t="s">
        <v>628</v>
      </c>
      <c r="AB77" s="19" t="s">
        <v>632</v>
      </c>
    </row>
    <row r="78" spans="1:28">
      <c r="A78" t="s">
        <v>352</v>
      </c>
      <c r="B78" s="2">
        <v>6</v>
      </c>
      <c r="C78" s="1" t="s">
        <v>26</v>
      </c>
      <c r="D78" t="s">
        <v>27</v>
      </c>
      <c r="E78" s="2" t="s">
        <v>120</v>
      </c>
      <c r="F78" s="2" t="s">
        <v>121</v>
      </c>
      <c r="G78" s="2">
        <v>800167898</v>
      </c>
      <c r="H78" s="2">
        <v>0</v>
      </c>
      <c r="I78" t="s">
        <v>353</v>
      </c>
      <c r="J78" s="2" t="s">
        <v>77</v>
      </c>
      <c r="K78" s="1" t="s">
        <v>78</v>
      </c>
      <c r="L78" t="s">
        <v>79</v>
      </c>
      <c r="M78" s="3">
        <v>208199.4</v>
      </c>
      <c r="N78" s="3">
        <v>0</v>
      </c>
      <c r="O78" s="1" t="s">
        <v>354</v>
      </c>
      <c r="P78" s="1" t="s">
        <v>355</v>
      </c>
      <c r="Q78" t="s">
        <v>47</v>
      </c>
      <c r="R78" t="s">
        <v>356</v>
      </c>
      <c r="S78" s="4">
        <v>46038</v>
      </c>
      <c r="T78" s="4">
        <v>46069</v>
      </c>
      <c r="U78" s="3">
        <v>0</v>
      </c>
      <c r="V78" s="3">
        <v>0</v>
      </c>
      <c r="W78" s="3">
        <v>0</v>
      </c>
      <c r="X78" s="3">
        <v>0</v>
      </c>
      <c r="Y78" s="3">
        <v>208199.4</v>
      </c>
      <c r="Z78" s="3">
        <f t="shared" si="1"/>
        <v>208199.4</v>
      </c>
      <c r="AA78" t="s">
        <v>628</v>
      </c>
      <c r="AB78" s="19" t="s">
        <v>632</v>
      </c>
    </row>
    <row r="79" spans="1:28">
      <c r="A79" t="s">
        <v>357</v>
      </c>
      <c r="B79" s="2">
        <v>2</v>
      </c>
      <c r="C79" s="1" t="s">
        <v>26</v>
      </c>
      <c r="D79" t="s">
        <v>27</v>
      </c>
      <c r="E79" s="2" t="s">
        <v>358</v>
      </c>
      <c r="F79" s="2" t="s">
        <v>359</v>
      </c>
      <c r="G79" s="2">
        <v>900582064</v>
      </c>
      <c r="H79" s="2">
        <v>0</v>
      </c>
      <c r="I79" t="s">
        <v>360</v>
      </c>
      <c r="J79" s="2" t="s">
        <v>361</v>
      </c>
      <c r="K79" s="1" t="s">
        <v>362</v>
      </c>
      <c r="L79" t="s">
        <v>139</v>
      </c>
      <c r="M79" s="3">
        <v>45332974.770000003</v>
      </c>
      <c r="N79" s="3">
        <v>45332974.770000003</v>
      </c>
      <c r="O79" s="1" t="s">
        <v>363</v>
      </c>
      <c r="P79" s="1" t="s">
        <v>364</v>
      </c>
      <c r="Q79" t="s">
        <v>47</v>
      </c>
      <c r="R79" t="s">
        <v>365</v>
      </c>
      <c r="S79" s="4">
        <v>45995</v>
      </c>
      <c r="T79" s="4">
        <v>46026</v>
      </c>
      <c r="U79" s="3">
        <v>0</v>
      </c>
      <c r="V79" s="3">
        <v>0</v>
      </c>
      <c r="W79" s="3">
        <v>0</v>
      </c>
      <c r="X79" s="3">
        <v>0</v>
      </c>
      <c r="Y79" s="3">
        <v>45332974.770000003</v>
      </c>
      <c r="Z79" s="3">
        <f t="shared" si="1"/>
        <v>45332974.770000003</v>
      </c>
      <c r="AA79" t="s">
        <v>627</v>
      </c>
      <c r="AB79" s="19" t="s">
        <v>632</v>
      </c>
    </row>
    <row r="80" spans="1:28">
      <c r="A80" t="s">
        <v>366</v>
      </c>
      <c r="B80" s="2">
        <v>1</v>
      </c>
      <c r="C80" s="1" t="s">
        <v>26</v>
      </c>
      <c r="D80" t="s">
        <v>27</v>
      </c>
      <c r="E80" s="2" t="s">
        <v>367</v>
      </c>
      <c r="F80" s="2" t="s">
        <v>368</v>
      </c>
      <c r="G80" s="2">
        <v>901338293</v>
      </c>
      <c r="H80" s="2">
        <v>0</v>
      </c>
      <c r="I80" t="s">
        <v>369</v>
      </c>
      <c r="J80" s="2" t="s">
        <v>53</v>
      </c>
      <c r="K80" s="1" t="s">
        <v>54</v>
      </c>
      <c r="L80" t="s">
        <v>55</v>
      </c>
      <c r="M80" s="3">
        <v>7840208.9500000002</v>
      </c>
      <c r="N80" s="3">
        <v>7840208.9500000002</v>
      </c>
      <c r="O80" s="1" t="s">
        <v>370</v>
      </c>
      <c r="P80" s="1" t="s">
        <v>46</v>
      </c>
      <c r="Q80" t="s">
        <v>81</v>
      </c>
      <c r="R80" t="s">
        <v>371</v>
      </c>
      <c r="S80" s="4">
        <v>44588</v>
      </c>
      <c r="T80" s="4">
        <v>44619</v>
      </c>
      <c r="U80" s="3">
        <v>1701457.2</v>
      </c>
      <c r="V80" s="3">
        <v>0</v>
      </c>
      <c r="W80" s="3">
        <v>0</v>
      </c>
      <c r="X80" s="3">
        <v>0</v>
      </c>
      <c r="Y80" s="3">
        <v>0</v>
      </c>
      <c r="Z80" s="3">
        <f t="shared" si="1"/>
        <v>1701457.2</v>
      </c>
      <c r="AA80" t="s">
        <v>629</v>
      </c>
      <c r="AB80" s="19" t="s">
        <v>632</v>
      </c>
    </row>
    <row r="81" spans="1:28">
      <c r="A81" t="s">
        <v>366</v>
      </c>
      <c r="B81" s="2">
        <v>1</v>
      </c>
      <c r="C81" s="1" t="s">
        <v>26</v>
      </c>
      <c r="D81" t="s">
        <v>27</v>
      </c>
      <c r="E81" s="2" t="s">
        <v>367</v>
      </c>
      <c r="F81" s="2" t="s">
        <v>372</v>
      </c>
      <c r="G81" s="2">
        <v>901338293</v>
      </c>
      <c r="H81" s="2">
        <v>0</v>
      </c>
      <c r="I81" t="s">
        <v>369</v>
      </c>
      <c r="J81" s="2" t="s">
        <v>53</v>
      </c>
      <c r="K81" s="1" t="s">
        <v>54</v>
      </c>
      <c r="L81" t="s">
        <v>55</v>
      </c>
      <c r="M81" s="3" t="s">
        <v>61</v>
      </c>
      <c r="N81" s="3" t="s">
        <v>61</v>
      </c>
      <c r="O81" s="1" t="s">
        <v>46</v>
      </c>
      <c r="P81" s="1" t="s">
        <v>46</v>
      </c>
      <c r="Q81" t="s">
        <v>62</v>
      </c>
      <c r="R81" t="s">
        <v>373</v>
      </c>
      <c r="S81" s="4">
        <v>44614</v>
      </c>
      <c r="T81" s="4">
        <v>44642</v>
      </c>
      <c r="U81" s="3">
        <v>911946.55</v>
      </c>
      <c r="V81" s="3">
        <v>0</v>
      </c>
      <c r="W81" s="3">
        <v>0</v>
      </c>
      <c r="X81" s="3">
        <v>0</v>
      </c>
      <c r="Y81" s="3">
        <v>0</v>
      </c>
      <c r="Z81" s="3">
        <f t="shared" si="1"/>
        <v>911946.55</v>
      </c>
      <c r="AA81" t="s">
        <v>629</v>
      </c>
      <c r="AB81" s="19" t="s">
        <v>632</v>
      </c>
    </row>
    <row r="82" spans="1:28">
      <c r="A82" t="s">
        <v>366</v>
      </c>
      <c r="B82" s="2">
        <v>1</v>
      </c>
      <c r="C82" s="1" t="s">
        <v>26</v>
      </c>
      <c r="D82" t="s">
        <v>27</v>
      </c>
      <c r="E82" s="2" t="s">
        <v>367</v>
      </c>
      <c r="F82" s="2" t="s">
        <v>374</v>
      </c>
      <c r="G82" s="2">
        <v>901338293</v>
      </c>
      <c r="H82" s="2">
        <v>0</v>
      </c>
      <c r="I82" t="s">
        <v>369</v>
      </c>
      <c r="J82" s="2" t="s">
        <v>53</v>
      </c>
      <c r="K82" s="1" t="s">
        <v>54</v>
      </c>
      <c r="L82" t="s">
        <v>55</v>
      </c>
      <c r="M82" s="3" t="s">
        <v>61</v>
      </c>
      <c r="N82" s="3" t="s">
        <v>61</v>
      </c>
      <c r="O82" s="1" t="s">
        <v>46</v>
      </c>
      <c r="P82" s="1" t="s">
        <v>46</v>
      </c>
      <c r="Q82" t="s">
        <v>62</v>
      </c>
      <c r="R82" t="s">
        <v>375</v>
      </c>
      <c r="S82" s="4">
        <v>44645</v>
      </c>
      <c r="T82" s="4">
        <v>44676</v>
      </c>
      <c r="U82" s="3">
        <v>1306701.3</v>
      </c>
      <c r="V82" s="3">
        <v>0</v>
      </c>
      <c r="W82" s="3">
        <v>0</v>
      </c>
      <c r="X82" s="3">
        <v>0</v>
      </c>
      <c r="Y82" s="3">
        <v>0</v>
      </c>
      <c r="Z82" s="3">
        <f t="shared" si="1"/>
        <v>1306701.3</v>
      </c>
      <c r="AA82" t="s">
        <v>629</v>
      </c>
      <c r="AB82" s="19" t="s">
        <v>632</v>
      </c>
    </row>
    <row r="83" spans="1:28">
      <c r="A83" t="s">
        <v>366</v>
      </c>
      <c r="B83" s="2">
        <v>1</v>
      </c>
      <c r="C83" s="1" t="s">
        <v>26</v>
      </c>
      <c r="D83" t="s">
        <v>27</v>
      </c>
      <c r="E83" s="2" t="s">
        <v>367</v>
      </c>
      <c r="F83" s="2" t="s">
        <v>376</v>
      </c>
      <c r="G83" s="2">
        <v>901338293</v>
      </c>
      <c r="H83" s="2">
        <v>0</v>
      </c>
      <c r="I83" t="s">
        <v>369</v>
      </c>
      <c r="J83" s="2" t="s">
        <v>53</v>
      </c>
      <c r="K83" s="1" t="s">
        <v>54</v>
      </c>
      <c r="L83" t="s">
        <v>55</v>
      </c>
      <c r="M83" s="3" t="s">
        <v>61</v>
      </c>
      <c r="N83" s="3" t="s">
        <v>61</v>
      </c>
      <c r="O83" s="1" t="s">
        <v>46</v>
      </c>
      <c r="P83" s="1" t="s">
        <v>46</v>
      </c>
      <c r="Q83" t="s">
        <v>62</v>
      </c>
      <c r="R83" t="s">
        <v>377</v>
      </c>
      <c r="S83" s="4">
        <v>44677</v>
      </c>
      <c r="T83" s="4">
        <v>44707</v>
      </c>
      <c r="U83" s="3">
        <v>1306701.3</v>
      </c>
      <c r="V83" s="3">
        <v>0</v>
      </c>
      <c r="W83" s="3">
        <v>0</v>
      </c>
      <c r="X83" s="3">
        <v>0</v>
      </c>
      <c r="Y83" s="3">
        <v>0</v>
      </c>
      <c r="Z83" s="3">
        <f t="shared" si="1"/>
        <v>1306701.3</v>
      </c>
      <c r="AA83" t="s">
        <v>629</v>
      </c>
      <c r="AB83" s="19" t="s">
        <v>632</v>
      </c>
    </row>
    <row r="84" spans="1:28">
      <c r="A84" t="s">
        <v>366</v>
      </c>
      <c r="B84" s="2">
        <v>1</v>
      </c>
      <c r="C84" s="1" t="s">
        <v>26</v>
      </c>
      <c r="D84" t="s">
        <v>27</v>
      </c>
      <c r="E84" s="2" t="s">
        <v>367</v>
      </c>
      <c r="F84" s="2" t="s">
        <v>378</v>
      </c>
      <c r="G84" s="2">
        <v>901338293</v>
      </c>
      <c r="H84" s="2">
        <v>0</v>
      </c>
      <c r="I84" t="s">
        <v>369</v>
      </c>
      <c r="J84" s="2" t="s">
        <v>53</v>
      </c>
      <c r="K84" s="1" t="s">
        <v>54</v>
      </c>
      <c r="L84" t="s">
        <v>55</v>
      </c>
      <c r="M84" s="3" t="s">
        <v>61</v>
      </c>
      <c r="N84" s="3" t="s">
        <v>61</v>
      </c>
      <c r="O84" s="1" t="s">
        <v>46</v>
      </c>
      <c r="P84" s="1" t="s">
        <v>46</v>
      </c>
      <c r="Q84" t="s">
        <v>62</v>
      </c>
      <c r="R84" t="s">
        <v>379</v>
      </c>
      <c r="S84" s="4">
        <v>44705</v>
      </c>
      <c r="T84" s="4">
        <v>44736</v>
      </c>
      <c r="U84" s="3">
        <v>1306701.3</v>
      </c>
      <c r="V84" s="3">
        <v>0</v>
      </c>
      <c r="W84" s="3">
        <v>0</v>
      </c>
      <c r="X84" s="3">
        <v>0</v>
      </c>
      <c r="Y84" s="3">
        <v>0</v>
      </c>
      <c r="Z84" s="3">
        <f t="shared" si="1"/>
        <v>1306701.3</v>
      </c>
      <c r="AA84" t="s">
        <v>629</v>
      </c>
      <c r="AB84" s="19" t="s">
        <v>632</v>
      </c>
    </row>
    <row r="85" spans="1:28">
      <c r="A85" t="s">
        <v>366</v>
      </c>
      <c r="B85" s="2">
        <v>1</v>
      </c>
      <c r="C85" s="1" t="s">
        <v>26</v>
      </c>
      <c r="D85" t="s">
        <v>27</v>
      </c>
      <c r="E85" s="2" t="s">
        <v>367</v>
      </c>
      <c r="F85" s="2" t="s">
        <v>380</v>
      </c>
      <c r="G85" s="2">
        <v>901338293</v>
      </c>
      <c r="H85" s="2">
        <v>0</v>
      </c>
      <c r="I85" t="s">
        <v>369</v>
      </c>
      <c r="J85" s="2" t="s">
        <v>53</v>
      </c>
      <c r="K85" s="1" t="s">
        <v>54</v>
      </c>
      <c r="L85" t="s">
        <v>55</v>
      </c>
      <c r="M85" s="3" t="s">
        <v>61</v>
      </c>
      <c r="N85" s="3" t="s">
        <v>61</v>
      </c>
      <c r="O85" s="1" t="s">
        <v>46</v>
      </c>
      <c r="P85" s="1" t="s">
        <v>46</v>
      </c>
      <c r="Q85" t="s">
        <v>62</v>
      </c>
      <c r="R85" t="s">
        <v>381</v>
      </c>
      <c r="S85" s="4">
        <v>44735</v>
      </c>
      <c r="T85" s="4">
        <v>44765</v>
      </c>
      <c r="U85" s="3">
        <v>1306701.3</v>
      </c>
      <c r="V85" s="3">
        <v>0</v>
      </c>
      <c r="W85" s="3">
        <v>0</v>
      </c>
      <c r="X85" s="3">
        <v>0</v>
      </c>
      <c r="Y85" s="3">
        <v>0</v>
      </c>
      <c r="Z85" s="3">
        <f t="shared" si="1"/>
        <v>1306701.3</v>
      </c>
      <c r="AA85" t="s">
        <v>629</v>
      </c>
      <c r="AB85" s="19" t="s">
        <v>632</v>
      </c>
    </row>
    <row r="86" spans="1:28">
      <c r="A86" t="s">
        <v>382</v>
      </c>
      <c r="B86" s="2">
        <v>5</v>
      </c>
      <c r="C86" s="1" t="s">
        <v>26</v>
      </c>
      <c r="D86" t="s">
        <v>27</v>
      </c>
      <c r="E86" s="2" t="s">
        <v>383</v>
      </c>
      <c r="F86" s="2" t="s">
        <v>384</v>
      </c>
      <c r="G86" s="2">
        <v>12713706</v>
      </c>
      <c r="H86" s="2">
        <v>0</v>
      </c>
      <c r="I86" t="s">
        <v>385</v>
      </c>
      <c r="J86" s="2" t="s">
        <v>53</v>
      </c>
      <c r="K86" s="1" t="s">
        <v>54</v>
      </c>
      <c r="L86" t="s">
        <v>55</v>
      </c>
      <c r="M86" s="3">
        <v>23800000</v>
      </c>
      <c r="N86" s="3">
        <v>23800000</v>
      </c>
      <c r="O86" s="1" t="s">
        <v>386</v>
      </c>
      <c r="P86" s="1" t="s">
        <v>46</v>
      </c>
      <c r="Q86" t="s">
        <v>387</v>
      </c>
      <c r="R86" t="s">
        <v>388</v>
      </c>
      <c r="S86" s="4">
        <v>45222</v>
      </c>
      <c r="T86" s="4">
        <v>45253</v>
      </c>
      <c r="U86" s="3">
        <v>23800000</v>
      </c>
      <c r="V86" s="3">
        <v>0</v>
      </c>
      <c r="W86" s="3">
        <v>0</v>
      </c>
      <c r="X86" s="3">
        <v>0</v>
      </c>
      <c r="Y86" s="3">
        <v>0</v>
      </c>
      <c r="Z86" s="3">
        <f t="shared" si="1"/>
        <v>23800000</v>
      </c>
      <c r="AA86" t="s">
        <v>629</v>
      </c>
      <c r="AB86" s="19" t="s">
        <v>632</v>
      </c>
    </row>
    <row r="87" spans="1:28">
      <c r="A87" t="s">
        <v>389</v>
      </c>
      <c r="B87" s="2">
        <v>9</v>
      </c>
      <c r="C87" s="1" t="s">
        <v>26</v>
      </c>
      <c r="D87" t="s">
        <v>27</v>
      </c>
      <c r="E87" s="2" t="s">
        <v>390</v>
      </c>
      <c r="F87" s="2" t="s">
        <v>391</v>
      </c>
      <c r="G87" s="2">
        <v>891700037</v>
      </c>
      <c r="H87" s="2">
        <v>0</v>
      </c>
      <c r="I87" t="s">
        <v>392</v>
      </c>
      <c r="J87" s="2" t="s">
        <v>393</v>
      </c>
      <c r="K87" s="1" t="s">
        <v>394</v>
      </c>
      <c r="L87" t="s">
        <v>44</v>
      </c>
      <c r="M87" s="3">
        <v>17170454.5</v>
      </c>
      <c r="N87" s="3">
        <v>0</v>
      </c>
      <c r="O87" s="1" t="s">
        <v>395</v>
      </c>
      <c r="P87" s="1" t="s">
        <v>46</v>
      </c>
      <c r="Q87" t="s">
        <v>117</v>
      </c>
      <c r="R87" t="s">
        <v>396</v>
      </c>
      <c r="S87" s="4">
        <v>46010</v>
      </c>
      <c r="T87" s="4">
        <v>46041</v>
      </c>
      <c r="U87" s="3">
        <v>0</v>
      </c>
      <c r="V87" s="3">
        <v>0</v>
      </c>
      <c r="W87" s="3">
        <v>0</v>
      </c>
      <c r="X87" s="3">
        <v>0</v>
      </c>
      <c r="Y87" s="3">
        <v>17170454.5</v>
      </c>
      <c r="Z87" s="3">
        <f t="shared" si="1"/>
        <v>17170454.5</v>
      </c>
      <c r="AA87" t="s">
        <v>628</v>
      </c>
      <c r="AB87" s="19" t="s">
        <v>632</v>
      </c>
    </row>
    <row r="88" spans="1:28">
      <c r="A88" t="s">
        <v>397</v>
      </c>
      <c r="B88" s="2">
        <v>7</v>
      </c>
      <c r="C88" s="1" t="s">
        <v>26</v>
      </c>
      <c r="D88" t="s">
        <v>27</v>
      </c>
      <c r="E88" s="2" t="s">
        <v>398</v>
      </c>
      <c r="F88" s="2" t="s">
        <v>399</v>
      </c>
      <c r="G88" s="2">
        <v>899999001</v>
      </c>
      <c r="H88" s="2">
        <v>0</v>
      </c>
      <c r="I88" t="s">
        <v>400</v>
      </c>
      <c r="J88" s="2" t="s">
        <v>187</v>
      </c>
      <c r="K88" s="1" t="s">
        <v>188</v>
      </c>
      <c r="L88" t="s">
        <v>189</v>
      </c>
      <c r="M88" s="3">
        <v>282315600</v>
      </c>
      <c r="N88" s="3">
        <v>282315600</v>
      </c>
      <c r="O88" s="1" t="s">
        <v>401</v>
      </c>
      <c r="P88" s="1" t="s">
        <v>46</v>
      </c>
      <c r="Q88" t="s">
        <v>117</v>
      </c>
      <c r="R88" t="s">
        <v>402</v>
      </c>
      <c r="S88" s="4">
        <v>46009</v>
      </c>
      <c r="T88" s="4">
        <v>46040</v>
      </c>
      <c r="U88" s="3">
        <v>0</v>
      </c>
      <c r="V88" s="3">
        <v>0</v>
      </c>
      <c r="W88" s="3">
        <v>0</v>
      </c>
      <c r="X88" s="3">
        <v>0</v>
      </c>
      <c r="Y88" s="3">
        <v>100211600</v>
      </c>
      <c r="Z88" s="3">
        <f t="shared" si="1"/>
        <v>100211600</v>
      </c>
      <c r="AA88" t="s">
        <v>627</v>
      </c>
      <c r="AB88" s="19" t="s">
        <v>632</v>
      </c>
    </row>
    <row r="89" spans="1:28">
      <c r="A89" t="s">
        <v>397</v>
      </c>
      <c r="B89" s="2">
        <v>7</v>
      </c>
      <c r="C89" s="1" t="s">
        <v>26</v>
      </c>
      <c r="D89" t="s">
        <v>27</v>
      </c>
      <c r="E89" s="2" t="s">
        <v>398</v>
      </c>
      <c r="F89" s="2" t="s">
        <v>399</v>
      </c>
      <c r="G89" s="2">
        <v>899999001</v>
      </c>
      <c r="H89" s="2">
        <v>0</v>
      </c>
      <c r="I89" t="s">
        <v>400</v>
      </c>
      <c r="J89" s="2" t="s">
        <v>187</v>
      </c>
      <c r="K89" s="1" t="s">
        <v>188</v>
      </c>
      <c r="L89" t="s">
        <v>189</v>
      </c>
      <c r="M89" s="3" t="s">
        <v>61</v>
      </c>
      <c r="N89" s="3" t="s">
        <v>61</v>
      </c>
      <c r="O89" s="1" t="s">
        <v>46</v>
      </c>
      <c r="P89" s="1" t="s">
        <v>46</v>
      </c>
      <c r="Q89" t="s">
        <v>62</v>
      </c>
      <c r="R89" t="s">
        <v>403</v>
      </c>
      <c r="S89" s="4">
        <v>46009</v>
      </c>
      <c r="T89" s="4">
        <v>46040</v>
      </c>
      <c r="U89" s="3">
        <v>0</v>
      </c>
      <c r="V89" s="3">
        <v>0</v>
      </c>
      <c r="W89" s="3">
        <v>0</v>
      </c>
      <c r="X89" s="3">
        <v>0</v>
      </c>
      <c r="Y89" s="3">
        <v>182104000</v>
      </c>
      <c r="Z89" s="3">
        <f t="shared" si="1"/>
        <v>182104000</v>
      </c>
      <c r="AA89" t="s">
        <v>627</v>
      </c>
      <c r="AB89" s="19" t="s">
        <v>632</v>
      </c>
    </row>
    <row r="90" spans="1:28">
      <c r="A90" t="s">
        <v>404</v>
      </c>
      <c r="B90" s="2">
        <v>2</v>
      </c>
      <c r="C90" s="1" t="s">
        <v>26</v>
      </c>
      <c r="D90" t="s">
        <v>27</v>
      </c>
      <c r="E90" s="2" t="s">
        <v>120</v>
      </c>
      <c r="F90" s="2" t="s">
        <v>121</v>
      </c>
      <c r="G90" s="2">
        <v>860015547</v>
      </c>
      <c r="H90" s="2">
        <v>0</v>
      </c>
      <c r="I90" t="s">
        <v>405</v>
      </c>
      <c r="J90" s="2" t="s">
        <v>77</v>
      </c>
      <c r="K90" s="1" t="s">
        <v>78</v>
      </c>
      <c r="L90" t="s">
        <v>79</v>
      </c>
      <c r="M90" s="3">
        <v>8277637.0499999998</v>
      </c>
      <c r="N90" s="3">
        <v>7313239.4100000001</v>
      </c>
      <c r="O90" s="1" t="s">
        <v>406</v>
      </c>
      <c r="P90" s="1" t="s">
        <v>407</v>
      </c>
      <c r="Q90" t="s">
        <v>47</v>
      </c>
      <c r="R90" t="s">
        <v>408</v>
      </c>
      <c r="S90" s="4">
        <v>45995</v>
      </c>
      <c r="T90" s="4">
        <v>46026</v>
      </c>
      <c r="U90" s="3">
        <v>0</v>
      </c>
      <c r="V90" s="3">
        <v>0</v>
      </c>
      <c r="W90" s="3">
        <v>0</v>
      </c>
      <c r="X90" s="3">
        <v>0</v>
      </c>
      <c r="Y90" s="3">
        <v>7313239.4100000001</v>
      </c>
      <c r="Z90" s="3">
        <f t="shared" si="1"/>
        <v>7313239.4100000001</v>
      </c>
      <c r="AA90" t="s">
        <v>627</v>
      </c>
      <c r="AB90" s="19" t="s">
        <v>632</v>
      </c>
    </row>
    <row r="91" spans="1:28">
      <c r="A91" t="s">
        <v>404</v>
      </c>
      <c r="B91" s="2">
        <v>2</v>
      </c>
      <c r="C91" s="1" t="s">
        <v>26</v>
      </c>
      <c r="D91" t="s">
        <v>27</v>
      </c>
      <c r="E91" s="2" t="s">
        <v>120</v>
      </c>
      <c r="F91" s="2" t="s">
        <v>121</v>
      </c>
      <c r="G91" s="2">
        <v>860015547</v>
      </c>
      <c r="H91" s="2">
        <v>0</v>
      </c>
      <c r="I91" t="s">
        <v>405</v>
      </c>
      <c r="J91" s="2" t="s">
        <v>77</v>
      </c>
      <c r="K91" s="1" t="s">
        <v>78</v>
      </c>
      <c r="L91" t="s">
        <v>79</v>
      </c>
      <c r="M91" s="3" t="s">
        <v>61</v>
      </c>
      <c r="N91" s="3" t="s">
        <v>61</v>
      </c>
      <c r="O91" s="1" t="s">
        <v>46</v>
      </c>
      <c r="P91" s="1" t="s">
        <v>46</v>
      </c>
      <c r="Q91" t="s">
        <v>62</v>
      </c>
      <c r="R91" t="s">
        <v>409</v>
      </c>
      <c r="S91" s="4">
        <v>46038</v>
      </c>
      <c r="T91" s="4">
        <v>46069</v>
      </c>
      <c r="U91" s="3">
        <v>0</v>
      </c>
      <c r="V91" s="3">
        <v>0</v>
      </c>
      <c r="W91" s="3">
        <v>0</v>
      </c>
      <c r="X91" s="3">
        <v>0</v>
      </c>
      <c r="Y91" s="3">
        <v>964397.64</v>
      </c>
      <c r="Z91" s="3">
        <f t="shared" si="1"/>
        <v>964397.64</v>
      </c>
      <c r="AA91" t="s">
        <v>628</v>
      </c>
      <c r="AB91" s="19" t="s">
        <v>632</v>
      </c>
    </row>
    <row r="92" spans="1:28">
      <c r="A92" t="s">
        <v>410</v>
      </c>
      <c r="B92" s="2">
        <v>7</v>
      </c>
      <c r="C92" s="1" t="s">
        <v>26</v>
      </c>
      <c r="D92" t="s">
        <v>27</v>
      </c>
      <c r="E92" s="2" t="s">
        <v>411</v>
      </c>
      <c r="F92" s="2" t="s">
        <v>412</v>
      </c>
      <c r="G92" s="2">
        <v>800113389</v>
      </c>
      <c r="H92" s="2">
        <v>0</v>
      </c>
      <c r="I92" t="s">
        <v>413</v>
      </c>
      <c r="J92" s="2" t="s">
        <v>234</v>
      </c>
      <c r="K92" s="1" t="s">
        <v>235</v>
      </c>
      <c r="L92" t="s">
        <v>236</v>
      </c>
      <c r="M92" s="3">
        <v>71029411.760000005</v>
      </c>
      <c r="N92" s="3">
        <v>71029411.760000005</v>
      </c>
      <c r="O92" s="1" t="s">
        <v>414</v>
      </c>
      <c r="P92" s="1" t="s">
        <v>415</v>
      </c>
      <c r="Q92" t="s">
        <v>416</v>
      </c>
      <c r="R92" t="s">
        <v>417</v>
      </c>
      <c r="S92" s="4">
        <v>45995</v>
      </c>
      <c r="T92" s="4">
        <v>46026</v>
      </c>
      <c r="U92" s="3">
        <v>0</v>
      </c>
      <c r="V92" s="3">
        <v>0</v>
      </c>
      <c r="W92" s="3">
        <v>0</v>
      </c>
      <c r="X92" s="3">
        <v>0</v>
      </c>
      <c r="Y92" s="3">
        <v>71029411.760000005</v>
      </c>
      <c r="Z92" s="3">
        <f t="shared" si="1"/>
        <v>71029411.760000005</v>
      </c>
      <c r="AA92" t="s">
        <v>627</v>
      </c>
      <c r="AB92" s="19" t="s">
        <v>632</v>
      </c>
    </row>
    <row r="93" spans="1:28">
      <c r="A93" t="s">
        <v>418</v>
      </c>
      <c r="B93" s="2">
        <v>0</v>
      </c>
      <c r="C93" s="1" t="s">
        <v>26</v>
      </c>
      <c r="D93" t="s">
        <v>27</v>
      </c>
      <c r="E93" s="2" t="s">
        <v>419</v>
      </c>
      <c r="F93" s="2" t="s">
        <v>420</v>
      </c>
      <c r="G93" s="2">
        <v>901712024</v>
      </c>
      <c r="H93" s="2">
        <v>0</v>
      </c>
      <c r="I93" t="s">
        <v>421</v>
      </c>
      <c r="J93" s="2" t="s">
        <v>53</v>
      </c>
      <c r="K93" s="1" t="s">
        <v>54</v>
      </c>
      <c r="L93" t="s">
        <v>55</v>
      </c>
      <c r="M93" s="3">
        <v>1500000</v>
      </c>
      <c r="N93" s="3">
        <v>1500000</v>
      </c>
      <c r="O93" s="1" t="s">
        <v>422</v>
      </c>
      <c r="P93" s="1" t="s">
        <v>46</v>
      </c>
      <c r="Q93" t="s">
        <v>47</v>
      </c>
      <c r="R93" t="s">
        <v>423</v>
      </c>
      <c r="S93" s="4">
        <v>45622</v>
      </c>
      <c r="T93" s="4">
        <v>45652</v>
      </c>
      <c r="U93" s="3">
        <v>1500000</v>
      </c>
      <c r="V93" s="3">
        <v>0</v>
      </c>
      <c r="W93" s="3">
        <v>0</v>
      </c>
      <c r="X93" s="3">
        <v>0</v>
      </c>
      <c r="Y93" s="3">
        <v>0</v>
      </c>
      <c r="Z93" s="3">
        <f t="shared" si="1"/>
        <v>1500000</v>
      </c>
      <c r="AA93" t="s">
        <v>627</v>
      </c>
      <c r="AB93" s="19" t="s">
        <v>632</v>
      </c>
    </row>
    <row r="94" spans="1:28">
      <c r="A94" t="s">
        <v>424</v>
      </c>
      <c r="B94" s="2">
        <v>0</v>
      </c>
      <c r="C94" s="1" t="s">
        <v>26</v>
      </c>
      <c r="D94" t="s">
        <v>27</v>
      </c>
      <c r="E94" s="2" t="s">
        <v>425</v>
      </c>
      <c r="F94" s="2" t="s">
        <v>426</v>
      </c>
      <c r="G94" s="2">
        <v>444444552</v>
      </c>
      <c r="H94" s="2">
        <v>0</v>
      </c>
      <c r="I94" t="s">
        <v>427</v>
      </c>
      <c r="J94" s="2" t="s">
        <v>31</v>
      </c>
      <c r="K94" s="1" t="s">
        <v>32</v>
      </c>
      <c r="L94" t="s">
        <v>33</v>
      </c>
      <c r="M94" s="3">
        <v>34274713.840000004</v>
      </c>
      <c r="N94" s="3">
        <v>34274713.840000004</v>
      </c>
      <c r="O94" s="1" t="s">
        <v>428</v>
      </c>
      <c r="P94" s="1" t="s">
        <v>46</v>
      </c>
      <c r="Q94" t="s">
        <v>429</v>
      </c>
      <c r="R94" t="s">
        <v>430</v>
      </c>
      <c r="S94" s="4">
        <v>45986</v>
      </c>
      <c r="T94" s="4">
        <v>46016</v>
      </c>
      <c r="U94" s="3">
        <v>0</v>
      </c>
      <c r="V94" s="3">
        <v>0</v>
      </c>
      <c r="W94" s="3">
        <v>0</v>
      </c>
      <c r="X94" s="3">
        <v>0</v>
      </c>
      <c r="Y94" s="3">
        <v>34274713.840000004</v>
      </c>
      <c r="Z94" s="3">
        <f t="shared" si="1"/>
        <v>34274713.840000004</v>
      </c>
      <c r="AA94" t="s">
        <v>627</v>
      </c>
      <c r="AB94" s="19" t="s">
        <v>632</v>
      </c>
    </row>
    <row r="95" spans="1:28">
      <c r="A95" t="s">
        <v>431</v>
      </c>
      <c r="B95" s="2">
        <v>2</v>
      </c>
      <c r="C95" s="1" t="s">
        <v>26</v>
      </c>
      <c r="D95" t="s">
        <v>27</v>
      </c>
      <c r="E95" s="2" t="s">
        <v>432</v>
      </c>
      <c r="F95" s="2" t="s">
        <v>433</v>
      </c>
      <c r="G95" s="2">
        <v>830059566</v>
      </c>
      <c r="H95" s="2">
        <v>0</v>
      </c>
      <c r="I95" t="s">
        <v>434</v>
      </c>
      <c r="J95" s="2" t="s">
        <v>77</v>
      </c>
      <c r="K95" s="1" t="s">
        <v>78</v>
      </c>
      <c r="L95" t="s">
        <v>79</v>
      </c>
      <c r="M95" s="3">
        <v>20683204</v>
      </c>
      <c r="N95" s="3">
        <v>20683204</v>
      </c>
      <c r="O95" s="1" t="s">
        <v>435</v>
      </c>
      <c r="P95" s="1" t="s">
        <v>46</v>
      </c>
      <c r="Q95" t="s">
        <v>47</v>
      </c>
      <c r="R95" t="s">
        <v>436</v>
      </c>
      <c r="S95" s="4">
        <v>43425</v>
      </c>
      <c r="T95" s="4">
        <v>43464</v>
      </c>
      <c r="U95" s="3">
        <v>174471</v>
      </c>
      <c r="V95" s="3">
        <v>0</v>
      </c>
      <c r="W95" s="3">
        <v>0</v>
      </c>
      <c r="X95" s="3">
        <v>0</v>
      </c>
      <c r="Y95" s="3">
        <v>0</v>
      </c>
      <c r="Z95" s="3">
        <f t="shared" si="1"/>
        <v>174471</v>
      </c>
      <c r="AA95" t="s">
        <v>629</v>
      </c>
      <c r="AB95" s="19" t="s">
        <v>632</v>
      </c>
    </row>
    <row r="96" spans="1:28">
      <c r="A96" t="s">
        <v>431</v>
      </c>
      <c r="B96" s="2">
        <v>2</v>
      </c>
      <c r="C96" s="1" t="s">
        <v>26</v>
      </c>
      <c r="D96" t="s">
        <v>27</v>
      </c>
      <c r="E96" s="2" t="s">
        <v>432</v>
      </c>
      <c r="F96" s="2" t="s">
        <v>437</v>
      </c>
      <c r="G96" s="2">
        <v>830059566</v>
      </c>
      <c r="H96" s="2">
        <v>0</v>
      </c>
      <c r="I96" t="s">
        <v>434</v>
      </c>
      <c r="J96" s="2" t="s">
        <v>77</v>
      </c>
      <c r="K96" s="1" t="s">
        <v>78</v>
      </c>
      <c r="L96" t="s">
        <v>79</v>
      </c>
      <c r="M96" s="3" t="s">
        <v>61</v>
      </c>
      <c r="N96" s="3" t="s">
        <v>61</v>
      </c>
      <c r="O96" s="1" t="s">
        <v>46</v>
      </c>
      <c r="P96" s="1" t="s">
        <v>46</v>
      </c>
      <c r="Q96" t="s">
        <v>62</v>
      </c>
      <c r="R96" t="s">
        <v>438</v>
      </c>
      <c r="S96" s="4">
        <v>43445</v>
      </c>
      <c r="T96" s="4">
        <v>43476</v>
      </c>
      <c r="U96" s="3">
        <v>1897045</v>
      </c>
      <c r="V96" s="3">
        <v>0</v>
      </c>
      <c r="W96" s="3">
        <v>0</v>
      </c>
      <c r="X96" s="3">
        <v>0</v>
      </c>
      <c r="Y96" s="3">
        <v>0</v>
      </c>
      <c r="Z96" s="3">
        <f t="shared" si="1"/>
        <v>1897045</v>
      </c>
      <c r="AA96" t="s">
        <v>629</v>
      </c>
      <c r="AB96" s="19" t="s">
        <v>632</v>
      </c>
    </row>
    <row r="97" spans="1:28">
      <c r="A97" t="s">
        <v>431</v>
      </c>
      <c r="B97" s="2">
        <v>2</v>
      </c>
      <c r="C97" s="1" t="s">
        <v>26</v>
      </c>
      <c r="D97" t="s">
        <v>27</v>
      </c>
      <c r="E97" s="2" t="s">
        <v>439</v>
      </c>
      <c r="F97" s="2" t="s">
        <v>440</v>
      </c>
      <c r="G97" s="2">
        <v>830059566</v>
      </c>
      <c r="H97" s="2">
        <v>0</v>
      </c>
      <c r="I97" t="s">
        <v>434</v>
      </c>
      <c r="J97" s="2" t="s">
        <v>77</v>
      </c>
      <c r="K97" s="1" t="s">
        <v>78</v>
      </c>
      <c r="L97" t="s">
        <v>79</v>
      </c>
      <c r="M97" s="3" t="s">
        <v>61</v>
      </c>
      <c r="N97" s="3" t="s">
        <v>61</v>
      </c>
      <c r="O97" s="1" t="s">
        <v>46</v>
      </c>
      <c r="P97" s="1" t="s">
        <v>46</v>
      </c>
      <c r="Q97" t="s">
        <v>62</v>
      </c>
      <c r="R97" t="s">
        <v>441</v>
      </c>
      <c r="S97" s="4">
        <v>43482</v>
      </c>
      <c r="T97" s="4">
        <v>43513</v>
      </c>
      <c r="U97" s="3">
        <v>1017369</v>
      </c>
      <c r="V97" s="3">
        <v>0</v>
      </c>
      <c r="W97" s="3">
        <v>0</v>
      </c>
      <c r="X97" s="3">
        <v>0</v>
      </c>
      <c r="Y97" s="3">
        <v>0</v>
      </c>
      <c r="Z97" s="3">
        <f t="shared" si="1"/>
        <v>1017369</v>
      </c>
      <c r="AA97" t="s">
        <v>629</v>
      </c>
      <c r="AB97" s="19" t="s">
        <v>632</v>
      </c>
    </row>
    <row r="98" spans="1:28">
      <c r="A98" t="s">
        <v>431</v>
      </c>
      <c r="B98" s="2">
        <v>2</v>
      </c>
      <c r="C98" s="1" t="s">
        <v>26</v>
      </c>
      <c r="D98" t="s">
        <v>27</v>
      </c>
      <c r="E98" s="2" t="s">
        <v>439</v>
      </c>
      <c r="F98" s="2" t="s">
        <v>442</v>
      </c>
      <c r="G98" s="2">
        <v>830059566</v>
      </c>
      <c r="H98" s="2">
        <v>0</v>
      </c>
      <c r="I98" t="s">
        <v>434</v>
      </c>
      <c r="J98" s="2" t="s">
        <v>77</v>
      </c>
      <c r="K98" s="1" t="s">
        <v>78</v>
      </c>
      <c r="L98" t="s">
        <v>79</v>
      </c>
      <c r="M98" s="3" t="s">
        <v>61</v>
      </c>
      <c r="N98" s="3" t="s">
        <v>61</v>
      </c>
      <c r="O98" s="1" t="s">
        <v>46</v>
      </c>
      <c r="P98" s="1" t="s">
        <v>46</v>
      </c>
      <c r="Q98" t="s">
        <v>62</v>
      </c>
      <c r="R98" t="s">
        <v>443</v>
      </c>
      <c r="S98" s="4">
        <v>43500</v>
      </c>
      <c r="T98" s="4">
        <v>43528</v>
      </c>
      <c r="U98" s="3">
        <v>1018332</v>
      </c>
      <c r="V98" s="3">
        <v>0</v>
      </c>
      <c r="W98" s="3">
        <v>0</v>
      </c>
      <c r="X98" s="3">
        <v>0</v>
      </c>
      <c r="Y98" s="3">
        <v>0</v>
      </c>
      <c r="Z98" s="3">
        <f t="shared" si="1"/>
        <v>1018332</v>
      </c>
      <c r="AA98" t="s">
        <v>629</v>
      </c>
      <c r="AB98" s="19" t="s">
        <v>632</v>
      </c>
    </row>
    <row r="99" spans="1:28">
      <c r="A99" t="s">
        <v>431</v>
      </c>
      <c r="B99" s="2">
        <v>2</v>
      </c>
      <c r="C99" s="1" t="s">
        <v>26</v>
      </c>
      <c r="D99" t="s">
        <v>27</v>
      </c>
      <c r="E99" s="2" t="s">
        <v>439</v>
      </c>
      <c r="F99" s="2" t="s">
        <v>444</v>
      </c>
      <c r="G99" s="2">
        <v>830059566</v>
      </c>
      <c r="H99" s="2">
        <v>0</v>
      </c>
      <c r="I99" t="s">
        <v>434</v>
      </c>
      <c r="J99" s="2" t="s">
        <v>77</v>
      </c>
      <c r="K99" s="1" t="s">
        <v>78</v>
      </c>
      <c r="L99" t="s">
        <v>79</v>
      </c>
      <c r="M99" s="3" t="s">
        <v>61</v>
      </c>
      <c r="N99" s="3" t="s">
        <v>61</v>
      </c>
      <c r="O99" s="1" t="s">
        <v>46</v>
      </c>
      <c r="P99" s="1" t="s">
        <v>46</v>
      </c>
      <c r="Q99" t="s">
        <v>62</v>
      </c>
      <c r="R99" t="s">
        <v>445</v>
      </c>
      <c r="S99" s="4">
        <v>43531</v>
      </c>
      <c r="T99" s="4">
        <v>43562</v>
      </c>
      <c r="U99" s="3">
        <v>859597</v>
      </c>
      <c r="V99" s="3">
        <v>0</v>
      </c>
      <c r="W99" s="3">
        <v>0</v>
      </c>
      <c r="X99" s="3">
        <v>0</v>
      </c>
      <c r="Y99" s="3">
        <v>0</v>
      </c>
      <c r="Z99" s="3">
        <f t="shared" si="1"/>
        <v>859597</v>
      </c>
      <c r="AA99" t="s">
        <v>629</v>
      </c>
      <c r="AB99" s="19" t="s">
        <v>632</v>
      </c>
    </row>
    <row r="100" spans="1:28">
      <c r="A100" t="s">
        <v>431</v>
      </c>
      <c r="B100" s="2">
        <v>2</v>
      </c>
      <c r="C100" s="1" t="s">
        <v>26</v>
      </c>
      <c r="D100" t="s">
        <v>27</v>
      </c>
      <c r="E100" s="2" t="s">
        <v>439</v>
      </c>
      <c r="F100" s="2" t="s">
        <v>446</v>
      </c>
      <c r="G100" s="2">
        <v>830059566</v>
      </c>
      <c r="H100" s="2">
        <v>0</v>
      </c>
      <c r="I100" t="s">
        <v>434</v>
      </c>
      <c r="J100" s="2" t="s">
        <v>77</v>
      </c>
      <c r="K100" s="1" t="s">
        <v>78</v>
      </c>
      <c r="L100" t="s">
        <v>79</v>
      </c>
      <c r="M100" s="3" t="s">
        <v>61</v>
      </c>
      <c r="N100" s="3" t="s">
        <v>61</v>
      </c>
      <c r="O100" s="1" t="s">
        <v>46</v>
      </c>
      <c r="P100" s="1" t="s">
        <v>46</v>
      </c>
      <c r="Q100" t="s">
        <v>62</v>
      </c>
      <c r="R100" t="s">
        <v>447</v>
      </c>
      <c r="S100" s="4">
        <v>43559</v>
      </c>
      <c r="T100" s="4">
        <v>43589</v>
      </c>
      <c r="U100" s="3">
        <v>965420</v>
      </c>
      <c r="V100" s="3">
        <v>0</v>
      </c>
      <c r="W100" s="3">
        <v>0</v>
      </c>
      <c r="X100" s="3">
        <v>0</v>
      </c>
      <c r="Y100" s="3">
        <v>0</v>
      </c>
      <c r="Z100" s="3">
        <f t="shared" si="1"/>
        <v>965420</v>
      </c>
      <c r="AA100" t="s">
        <v>629</v>
      </c>
      <c r="AB100" s="19" t="s">
        <v>632</v>
      </c>
    </row>
    <row r="101" spans="1:28">
      <c r="A101" t="s">
        <v>431</v>
      </c>
      <c r="B101" s="2">
        <v>2</v>
      </c>
      <c r="C101" s="1" t="s">
        <v>26</v>
      </c>
      <c r="D101" t="s">
        <v>27</v>
      </c>
      <c r="E101" s="2" t="s">
        <v>439</v>
      </c>
      <c r="F101" s="2" t="s">
        <v>448</v>
      </c>
      <c r="G101" s="2">
        <v>830059566</v>
      </c>
      <c r="H101" s="2">
        <v>0</v>
      </c>
      <c r="I101" t="s">
        <v>434</v>
      </c>
      <c r="J101" s="2" t="s">
        <v>77</v>
      </c>
      <c r="K101" s="1" t="s">
        <v>78</v>
      </c>
      <c r="L101" t="s">
        <v>79</v>
      </c>
      <c r="M101" s="3" t="s">
        <v>61</v>
      </c>
      <c r="N101" s="3" t="s">
        <v>61</v>
      </c>
      <c r="O101" s="1" t="s">
        <v>46</v>
      </c>
      <c r="P101" s="1" t="s">
        <v>46</v>
      </c>
      <c r="Q101" t="s">
        <v>62</v>
      </c>
      <c r="R101" t="s">
        <v>449</v>
      </c>
      <c r="S101" s="4">
        <v>43626</v>
      </c>
      <c r="T101" s="4">
        <v>43626</v>
      </c>
      <c r="U101" s="3">
        <v>935339</v>
      </c>
      <c r="V101" s="3">
        <v>0</v>
      </c>
      <c r="W101" s="3">
        <v>0</v>
      </c>
      <c r="X101" s="3">
        <v>0</v>
      </c>
      <c r="Y101" s="3">
        <v>0</v>
      </c>
      <c r="Z101" s="3">
        <f t="shared" si="1"/>
        <v>935339</v>
      </c>
      <c r="AA101" t="s">
        <v>629</v>
      </c>
      <c r="AB101" s="19" t="s">
        <v>632</v>
      </c>
    </row>
    <row r="102" spans="1:28">
      <c r="A102" t="s">
        <v>431</v>
      </c>
      <c r="B102" s="2">
        <v>2</v>
      </c>
      <c r="C102" s="1" t="s">
        <v>26</v>
      </c>
      <c r="D102" t="s">
        <v>27</v>
      </c>
      <c r="E102" s="2" t="s">
        <v>439</v>
      </c>
      <c r="F102" s="2" t="s">
        <v>450</v>
      </c>
      <c r="G102" s="2">
        <v>830059566</v>
      </c>
      <c r="H102" s="2">
        <v>0</v>
      </c>
      <c r="I102" t="s">
        <v>434</v>
      </c>
      <c r="J102" s="2" t="s">
        <v>77</v>
      </c>
      <c r="K102" s="1" t="s">
        <v>78</v>
      </c>
      <c r="L102" t="s">
        <v>79</v>
      </c>
      <c r="M102" s="3" t="s">
        <v>61</v>
      </c>
      <c r="N102" s="3" t="s">
        <v>61</v>
      </c>
      <c r="O102" s="1" t="s">
        <v>46</v>
      </c>
      <c r="P102" s="1" t="s">
        <v>46</v>
      </c>
      <c r="Q102" t="s">
        <v>62</v>
      </c>
      <c r="R102" t="s">
        <v>451</v>
      </c>
      <c r="S102" s="4">
        <v>43593</v>
      </c>
      <c r="T102" s="4">
        <v>43654</v>
      </c>
      <c r="U102" s="3">
        <v>860984</v>
      </c>
      <c r="V102" s="3">
        <v>0</v>
      </c>
      <c r="W102" s="3">
        <v>0</v>
      </c>
      <c r="X102" s="3">
        <v>0</v>
      </c>
      <c r="Y102" s="3">
        <v>0</v>
      </c>
      <c r="Z102" s="3">
        <f t="shared" si="1"/>
        <v>860984</v>
      </c>
      <c r="AA102" t="s">
        <v>629</v>
      </c>
      <c r="AB102" s="19" t="s">
        <v>632</v>
      </c>
    </row>
    <row r="103" spans="1:28">
      <c r="A103" t="s">
        <v>431</v>
      </c>
      <c r="B103" s="2">
        <v>2</v>
      </c>
      <c r="C103" s="1" t="s">
        <v>26</v>
      </c>
      <c r="D103" t="s">
        <v>27</v>
      </c>
      <c r="E103" s="2" t="s">
        <v>439</v>
      </c>
      <c r="F103" s="2" t="s">
        <v>452</v>
      </c>
      <c r="G103" s="2">
        <v>830059566</v>
      </c>
      <c r="H103" s="2">
        <v>0</v>
      </c>
      <c r="I103" t="s">
        <v>434</v>
      </c>
      <c r="J103" s="2" t="s">
        <v>77</v>
      </c>
      <c r="K103" s="1" t="s">
        <v>78</v>
      </c>
      <c r="L103" t="s">
        <v>79</v>
      </c>
      <c r="M103" s="3" t="s">
        <v>61</v>
      </c>
      <c r="N103" s="3" t="s">
        <v>61</v>
      </c>
      <c r="O103" s="1" t="s">
        <v>46</v>
      </c>
      <c r="P103" s="1" t="s">
        <v>46</v>
      </c>
      <c r="Q103" t="s">
        <v>62</v>
      </c>
      <c r="R103" t="s">
        <v>453</v>
      </c>
      <c r="S103" s="4">
        <v>43656</v>
      </c>
      <c r="T103" s="4">
        <v>43687</v>
      </c>
      <c r="U103" s="3">
        <v>965473</v>
      </c>
      <c r="V103" s="3">
        <v>0</v>
      </c>
      <c r="W103" s="3">
        <v>0</v>
      </c>
      <c r="X103" s="3">
        <v>0</v>
      </c>
      <c r="Y103" s="3">
        <v>0</v>
      </c>
      <c r="Z103" s="3">
        <f t="shared" si="1"/>
        <v>965473</v>
      </c>
      <c r="AA103" t="s">
        <v>629</v>
      </c>
      <c r="AB103" s="19" t="s">
        <v>632</v>
      </c>
    </row>
    <row r="104" spans="1:28">
      <c r="A104" t="s">
        <v>431</v>
      </c>
      <c r="B104" s="2">
        <v>2</v>
      </c>
      <c r="C104" s="1" t="s">
        <v>26</v>
      </c>
      <c r="D104" t="s">
        <v>27</v>
      </c>
      <c r="E104" s="2" t="s">
        <v>439</v>
      </c>
      <c r="F104" s="2" t="s">
        <v>454</v>
      </c>
      <c r="G104" s="2">
        <v>830059566</v>
      </c>
      <c r="H104" s="2">
        <v>0</v>
      </c>
      <c r="I104" t="s">
        <v>434</v>
      </c>
      <c r="J104" s="2" t="s">
        <v>77</v>
      </c>
      <c r="K104" s="1" t="s">
        <v>78</v>
      </c>
      <c r="L104" t="s">
        <v>79</v>
      </c>
      <c r="M104" s="3" t="s">
        <v>61</v>
      </c>
      <c r="N104" s="3" t="s">
        <v>61</v>
      </c>
      <c r="O104" s="1" t="s">
        <v>46</v>
      </c>
      <c r="P104" s="1" t="s">
        <v>46</v>
      </c>
      <c r="Q104" t="s">
        <v>62</v>
      </c>
      <c r="R104" t="s">
        <v>455</v>
      </c>
      <c r="S104" s="4">
        <v>43679</v>
      </c>
      <c r="T104" s="4">
        <v>43710</v>
      </c>
      <c r="U104" s="3">
        <v>930199</v>
      </c>
      <c r="V104" s="3">
        <v>0</v>
      </c>
      <c r="W104" s="3">
        <v>0</v>
      </c>
      <c r="X104" s="3">
        <v>0</v>
      </c>
      <c r="Y104" s="3">
        <v>0</v>
      </c>
      <c r="Z104" s="3">
        <f t="shared" si="1"/>
        <v>930199</v>
      </c>
      <c r="AA104" t="s">
        <v>629</v>
      </c>
      <c r="AB104" s="19" t="s">
        <v>632</v>
      </c>
    </row>
    <row r="105" spans="1:28">
      <c r="A105" t="s">
        <v>431</v>
      </c>
      <c r="B105" s="2">
        <v>2</v>
      </c>
      <c r="C105" s="1" t="s">
        <v>26</v>
      </c>
      <c r="D105" t="s">
        <v>27</v>
      </c>
      <c r="E105" s="2" t="s">
        <v>439</v>
      </c>
      <c r="F105" s="2" t="s">
        <v>456</v>
      </c>
      <c r="G105" s="2">
        <v>830059566</v>
      </c>
      <c r="H105" s="2">
        <v>0</v>
      </c>
      <c r="I105" t="s">
        <v>434</v>
      </c>
      <c r="J105" s="2" t="s">
        <v>77</v>
      </c>
      <c r="K105" s="1" t="s">
        <v>78</v>
      </c>
      <c r="L105" t="s">
        <v>79</v>
      </c>
      <c r="M105" s="3" t="s">
        <v>61</v>
      </c>
      <c r="N105" s="3" t="s">
        <v>61</v>
      </c>
      <c r="O105" s="1" t="s">
        <v>46</v>
      </c>
      <c r="P105" s="1" t="s">
        <v>46</v>
      </c>
      <c r="Q105" t="s">
        <v>62</v>
      </c>
      <c r="R105" t="s">
        <v>457</v>
      </c>
      <c r="S105" s="4">
        <v>43721</v>
      </c>
      <c r="T105" s="4">
        <v>43751</v>
      </c>
      <c r="U105" s="3">
        <v>965473</v>
      </c>
      <c r="V105" s="3">
        <v>0</v>
      </c>
      <c r="W105" s="3">
        <v>0</v>
      </c>
      <c r="X105" s="3">
        <v>0</v>
      </c>
      <c r="Y105" s="3">
        <v>0</v>
      </c>
      <c r="Z105" s="3">
        <f t="shared" si="1"/>
        <v>965473</v>
      </c>
      <c r="AA105" t="s">
        <v>629</v>
      </c>
      <c r="AB105" s="19" t="s">
        <v>632</v>
      </c>
    </row>
    <row r="106" spans="1:28">
      <c r="A106" t="s">
        <v>431</v>
      </c>
      <c r="B106" s="2">
        <v>2</v>
      </c>
      <c r="C106" s="1" t="s">
        <v>26</v>
      </c>
      <c r="D106" t="s">
        <v>27</v>
      </c>
      <c r="E106" s="2" t="s">
        <v>439</v>
      </c>
      <c r="F106" s="2" t="s">
        <v>458</v>
      </c>
      <c r="G106" s="2">
        <v>830059566</v>
      </c>
      <c r="H106" s="2">
        <v>0</v>
      </c>
      <c r="I106" t="s">
        <v>434</v>
      </c>
      <c r="J106" s="2" t="s">
        <v>77</v>
      </c>
      <c r="K106" s="1" t="s">
        <v>78</v>
      </c>
      <c r="L106" t="s">
        <v>79</v>
      </c>
      <c r="M106" s="3" t="s">
        <v>61</v>
      </c>
      <c r="N106" s="3" t="s">
        <v>61</v>
      </c>
      <c r="O106" s="1" t="s">
        <v>46</v>
      </c>
      <c r="P106" s="1" t="s">
        <v>46</v>
      </c>
      <c r="Q106" t="s">
        <v>62</v>
      </c>
      <c r="R106" t="s">
        <v>459</v>
      </c>
      <c r="S106" s="4">
        <v>43749</v>
      </c>
      <c r="T106" s="4">
        <v>43780</v>
      </c>
      <c r="U106" s="3">
        <v>1096219</v>
      </c>
      <c r="V106" s="3">
        <v>0</v>
      </c>
      <c r="W106" s="3">
        <v>0</v>
      </c>
      <c r="X106" s="3">
        <v>0</v>
      </c>
      <c r="Y106" s="3">
        <v>0</v>
      </c>
      <c r="Z106" s="3">
        <f t="shared" si="1"/>
        <v>1096219</v>
      </c>
      <c r="AA106" t="s">
        <v>629</v>
      </c>
      <c r="AB106" s="19" t="s">
        <v>632</v>
      </c>
    </row>
    <row r="107" spans="1:28">
      <c r="A107" t="s">
        <v>431</v>
      </c>
      <c r="B107" s="2">
        <v>2</v>
      </c>
      <c r="C107" s="1" t="s">
        <v>26</v>
      </c>
      <c r="D107" t="s">
        <v>27</v>
      </c>
      <c r="E107" s="2" t="s">
        <v>439</v>
      </c>
      <c r="F107" s="2" t="s">
        <v>460</v>
      </c>
      <c r="G107" s="2">
        <v>830059566</v>
      </c>
      <c r="H107" s="2">
        <v>0</v>
      </c>
      <c r="I107" t="s">
        <v>434</v>
      </c>
      <c r="J107" s="2" t="s">
        <v>77</v>
      </c>
      <c r="K107" s="1" t="s">
        <v>78</v>
      </c>
      <c r="L107" t="s">
        <v>79</v>
      </c>
      <c r="M107" s="3" t="s">
        <v>61</v>
      </c>
      <c r="N107" s="3" t="s">
        <v>61</v>
      </c>
      <c r="O107" s="1" t="s">
        <v>46</v>
      </c>
      <c r="P107" s="1" t="s">
        <v>46</v>
      </c>
      <c r="Q107" t="s">
        <v>62</v>
      </c>
      <c r="R107" t="s">
        <v>461</v>
      </c>
      <c r="S107" s="4">
        <v>43784</v>
      </c>
      <c r="T107" s="4">
        <v>43814</v>
      </c>
      <c r="U107" s="3">
        <v>1161993</v>
      </c>
      <c r="V107" s="3">
        <v>0</v>
      </c>
      <c r="W107" s="3">
        <v>0</v>
      </c>
      <c r="X107" s="3">
        <v>0</v>
      </c>
      <c r="Y107" s="3">
        <v>0</v>
      </c>
      <c r="Z107" s="3">
        <f t="shared" si="1"/>
        <v>1161993</v>
      </c>
      <c r="AA107" t="s">
        <v>629</v>
      </c>
      <c r="AB107" s="19" t="s">
        <v>632</v>
      </c>
    </row>
    <row r="108" spans="1:28">
      <c r="A108" t="s">
        <v>431</v>
      </c>
      <c r="B108" s="2">
        <v>2</v>
      </c>
      <c r="C108" s="1" t="s">
        <v>26</v>
      </c>
      <c r="D108" t="s">
        <v>27</v>
      </c>
      <c r="E108" s="2" t="s">
        <v>439</v>
      </c>
      <c r="F108" s="2" t="s">
        <v>462</v>
      </c>
      <c r="G108" s="2">
        <v>830059566</v>
      </c>
      <c r="H108" s="2">
        <v>0</v>
      </c>
      <c r="I108" t="s">
        <v>434</v>
      </c>
      <c r="J108" s="2" t="s">
        <v>77</v>
      </c>
      <c r="K108" s="1" t="s">
        <v>78</v>
      </c>
      <c r="L108" t="s">
        <v>79</v>
      </c>
      <c r="M108" s="3" t="s">
        <v>61</v>
      </c>
      <c r="N108" s="3" t="s">
        <v>61</v>
      </c>
      <c r="O108" s="1" t="s">
        <v>46</v>
      </c>
      <c r="P108" s="1" t="s">
        <v>46</v>
      </c>
      <c r="Q108" t="s">
        <v>62</v>
      </c>
      <c r="R108" t="s">
        <v>463</v>
      </c>
      <c r="S108" s="4">
        <v>43810</v>
      </c>
      <c r="T108" s="4">
        <v>43841</v>
      </c>
      <c r="U108" s="3">
        <v>1161993</v>
      </c>
      <c r="V108" s="3">
        <v>0</v>
      </c>
      <c r="W108" s="3">
        <v>0</v>
      </c>
      <c r="X108" s="3">
        <v>0</v>
      </c>
      <c r="Y108" s="3">
        <v>0</v>
      </c>
      <c r="Z108" s="3">
        <f t="shared" si="1"/>
        <v>1161993</v>
      </c>
      <c r="AA108" t="s">
        <v>629</v>
      </c>
      <c r="AB108" s="19" t="s">
        <v>632</v>
      </c>
    </row>
    <row r="109" spans="1:28">
      <c r="A109" t="s">
        <v>431</v>
      </c>
      <c r="B109" s="2">
        <v>2</v>
      </c>
      <c r="C109" s="1" t="s">
        <v>26</v>
      </c>
      <c r="D109" t="s">
        <v>27</v>
      </c>
      <c r="E109" s="2" t="s">
        <v>439</v>
      </c>
      <c r="F109" s="2" t="s">
        <v>440</v>
      </c>
      <c r="G109" s="2">
        <v>830059566</v>
      </c>
      <c r="H109" s="2">
        <v>0</v>
      </c>
      <c r="I109" t="s">
        <v>434</v>
      </c>
      <c r="J109" s="2" t="s">
        <v>77</v>
      </c>
      <c r="K109" s="1" t="s">
        <v>78</v>
      </c>
      <c r="L109" t="s">
        <v>79</v>
      </c>
      <c r="M109" s="3" t="s">
        <v>61</v>
      </c>
      <c r="N109" s="3" t="s">
        <v>61</v>
      </c>
      <c r="O109" s="1" t="s">
        <v>46</v>
      </c>
      <c r="P109" s="1" t="s">
        <v>46</v>
      </c>
      <c r="Q109" t="s">
        <v>62</v>
      </c>
      <c r="R109" t="s">
        <v>464</v>
      </c>
      <c r="S109" s="4">
        <v>43846</v>
      </c>
      <c r="T109" s="4">
        <v>43877</v>
      </c>
      <c r="U109" s="3">
        <v>1161993</v>
      </c>
      <c r="V109" s="3">
        <v>0</v>
      </c>
      <c r="W109" s="3">
        <v>0</v>
      </c>
      <c r="X109" s="3">
        <v>0</v>
      </c>
      <c r="Y109" s="3">
        <v>0</v>
      </c>
      <c r="Z109" s="3">
        <f t="shared" si="1"/>
        <v>1161993</v>
      </c>
      <c r="AA109" t="s">
        <v>629</v>
      </c>
      <c r="AB109" s="19" t="s">
        <v>632</v>
      </c>
    </row>
    <row r="110" spans="1:28">
      <c r="A110" t="s">
        <v>431</v>
      </c>
      <c r="B110" s="2">
        <v>2</v>
      </c>
      <c r="C110" s="1" t="s">
        <v>26</v>
      </c>
      <c r="D110" t="s">
        <v>27</v>
      </c>
      <c r="E110" s="2" t="s">
        <v>439</v>
      </c>
      <c r="F110" s="2" t="s">
        <v>442</v>
      </c>
      <c r="G110" s="2">
        <v>830059566</v>
      </c>
      <c r="H110" s="2">
        <v>0</v>
      </c>
      <c r="I110" t="s">
        <v>434</v>
      </c>
      <c r="J110" s="2" t="s">
        <v>77</v>
      </c>
      <c r="K110" s="1" t="s">
        <v>78</v>
      </c>
      <c r="L110" t="s">
        <v>79</v>
      </c>
      <c r="M110" s="3" t="s">
        <v>61</v>
      </c>
      <c r="N110" s="3" t="s">
        <v>61</v>
      </c>
      <c r="O110" s="1" t="s">
        <v>46</v>
      </c>
      <c r="P110" s="1" t="s">
        <v>46</v>
      </c>
      <c r="Q110" t="s">
        <v>62</v>
      </c>
      <c r="R110" t="s">
        <v>465</v>
      </c>
      <c r="S110" s="4">
        <v>43874</v>
      </c>
      <c r="T110" s="4">
        <v>43903</v>
      </c>
      <c r="U110" s="3">
        <v>895484</v>
      </c>
      <c r="V110" s="3">
        <v>0</v>
      </c>
      <c r="W110" s="3">
        <v>0</v>
      </c>
      <c r="X110" s="3">
        <v>0</v>
      </c>
      <c r="Y110" s="3">
        <v>0</v>
      </c>
      <c r="Z110" s="3">
        <f t="shared" si="1"/>
        <v>895484</v>
      </c>
      <c r="AA110" t="s">
        <v>629</v>
      </c>
      <c r="AB110" s="19" t="s">
        <v>632</v>
      </c>
    </row>
    <row r="111" spans="1:28">
      <c r="A111" t="s">
        <v>431</v>
      </c>
      <c r="B111" s="2">
        <v>2</v>
      </c>
      <c r="C111" s="1" t="s">
        <v>26</v>
      </c>
      <c r="D111" t="s">
        <v>27</v>
      </c>
      <c r="E111" s="2" t="s">
        <v>439</v>
      </c>
      <c r="F111" s="2" t="s">
        <v>444</v>
      </c>
      <c r="G111" s="2">
        <v>830059566</v>
      </c>
      <c r="H111" s="2">
        <v>0</v>
      </c>
      <c r="I111" t="s">
        <v>434</v>
      </c>
      <c r="J111" s="2" t="s">
        <v>77</v>
      </c>
      <c r="K111" s="1" t="s">
        <v>78</v>
      </c>
      <c r="L111" t="s">
        <v>79</v>
      </c>
      <c r="M111" s="3" t="s">
        <v>61</v>
      </c>
      <c r="N111" s="3" t="s">
        <v>61</v>
      </c>
      <c r="O111" s="1" t="s">
        <v>46</v>
      </c>
      <c r="P111" s="1" t="s">
        <v>46</v>
      </c>
      <c r="Q111" t="s">
        <v>62</v>
      </c>
      <c r="R111" t="s">
        <v>466</v>
      </c>
      <c r="S111" s="4">
        <v>43906</v>
      </c>
      <c r="T111" s="4">
        <v>43937</v>
      </c>
      <c r="U111" s="3">
        <v>648632</v>
      </c>
      <c r="V111" s="3">
        <v>0</v>
      </c>
      <c r="W111" s="3">
        <v>0</v>
      </c>
      <c r="X111" s="3">
        <v>0</v>
      </c>
      <c r="Y111" s="3">
        <v>0</v>
      </c>
      <c r="Z111" s="3">
        <f t="shared" si="1"/>
        <v>648632</v>
      </c>
      <c r="AA111" t="s">
        <v>629</v>
      </c>
      <c r="AB111" s="19" t="s">
        <v>632</v>
      </c>
    </row>
    <row r="112" spans="1:28">
      <c r="A112" t="s">
        <v>431</v>
      </c>
      <c r="B112" s="2">
        <v>2</v>
      </c>
      <c r="C112" s="1" t="s">
        <v>26</v>
      </c>
      <c r="D112" t="s">
        <v>27</v>
      </c>
      <c r="E112" s="2" t="s">
        <v>439</v>
      </c>
      <c r="F112" s="2" t="s">
        <v>446</v>
      </c>
      <c r="G112" s="2">
        <v>830059566</v>
      </c>
      <c r="H112" s="2">
        <v>0</v>
      </c>
      <c r="I112" t="s">
        <v>434</v>
      </c>
      <c r="J112" s="2" t="s">
        <v>77</v>
      </c>
      <c r="K112" s="1" t="s">
        <v>78</v>
      </c>
      <c r="L112" t="s">
        <v>79</v>
      </c>
      <c r="M112" s="3" t="s">
        <v>61</v>
      </c>
      <c r="N112" s="3" t="s">
        <v>61</v>
      </c>
      <c r="O112" s="1" t="s">
        <v>46</v>
      </c>
      <c r="P112" s="1" t="s">
        <v>46</v>
      </c>
      <c r="Q112" t="s">
        <v>62</v>
      </c>
      <c r="R112" t="s">
        <v>467</v>
      </c>
      <c r="S112" s="4">
        <v>43966</v>
      </c>
      <c r="T112" s="4">
        <v>43997</v>
      </c>
      <c r="U112" s="3">
        <v>960330</v>
      </c>
      <c r="V112" s="3">
        <v>0</v>
      </c>
      <c r="W112" s="3">
        <v>0</v>
      </c>
      <c r="X112" s="3">
        <v>0</v>
      </c>
      <c r="Y112" s="3">
        <v>0</v>
      </c>
      <c r="Z112" s="3">
        <f t="shared" si="1"/>
        <v>960330</v>
      </c>
      <c r="AA112" t="s">
        <v>629</v>
      </c>
      <c r="AB112" s="19" t="s">
        <v>632</v>
      </c>
    </row>
    <row r="113" spans="1:28">
      <c r="A113" t="s">
        <v>431</v>
      </c>
      <c r="B113" s="2">
        <v>2</v>
      </c>
      <c r="C113" s="1" t="s">
        <v>26</v>
      </c>
      <c r="D113" t="s">
        <v>27</v>
      </c>
      <c r="E113" s="2" t="s">
        <v>439</v>
      </c>
      <c r="F113" s="2" t="s">
        <v>450</v>
      </c>
      <c r="G113" s="2">
        <v>830059566</v>
      </c>
      <c r="H113" s="2">
        <v>0</v>
      </c>
      <c r="I113" t="s">
        <v>434</v>
      </c>
      <c r="J113" s="2" t="s">
        <v>77</v>
      </c>
      <c r="K113" s="1" t="s">
        <v>78</v>
      </c>
      <c r="L113" t="s">
        <v>79</v>
      </c>
      <c r="M113" s="3" t="s">
        <v>61</v>
      </c>
      <c r="N113" s="3" t="s">
        <v>61</v>
      </c>
      <c r="O113" s="1" t="s">
        <v>46</v>
      </c>
      <c r="P113" s="1" t="s">
        <v>46</v>
      </c>
      <c r="Q113" t="s">
        <v>62</v>
      </c>
      <c r="R113" t="s">
        <v>468</v>
      </c>
      <c r="S113" s="4">
        <v>43966</v>
      </c>
      <c r="T113" s="4">
        <v>43997</v>
      </c>
      <c r="U113" s="3">
        <v>942047</v>
      </c>
      <c r="V113" s="3">
        <v>0</v>
      </c>
      <c r="W113" s="3">
        <v>0</v>
      </c>
      <c r="X113" s="3">
        <v>0</v>
      </c>
      <c r="Y113" s="3">
        <v>0</v>
      </c>
      <c r="Z113" s="3">
        <f t="shared" si="1"/>
        <v>942047</v>
      </c>
      <c r="AA113" t="s">
        <v>629</v>
      </c>
      <c r="AB113" s="19" t="s">
        <v>632</v>
      </c>
    </row>
    <row r="114" spans="1:28">
      <c r="A114" t="s">
        <v>431</v>
      </c>
      <c r="B114" s="2">
        <v>2</v>
      </c>
      <c r="C114" s="1" t="s">
        <v>26</v>
      </c>
      <c r="D114" t="s">
        <v>27</v>
      </c>
      <c r="E114" s="2" t="s">
        <v>439</v>
      </c>
      <c r="F114" s="2" t="s">
        <v>448</v>
      </c>
      <c r="G114" s="2">
        <v>830059566</v>
      </c>
      <c r="H114" s="2">
        <v>0</v>
      </c>
      <c r="I114" t="s">
        <v>434</v>
      </c>
      <c r="J114" s="2" t="s">
        <v>77</v>
      </c>
      <c r="K114" s="1" t="s">
        <v>78</v>
      </c>
      <c r="L114" t="s">
        <v>79</v>
      </c>
      <c r="M114" s="3" t="s">
        <v>61</v>
      </c>
      <c r="N114" s="3" t="s">
        <v>61</v>
      </c>
      <c r="O114" s="1" t="s">
        <v>46</v>
      </c>
      <c r="P114" s="1" t="s">
        <v>46</v>
      </c>
      <c r="Q114" t="s">
        <v>62</v>
      </c>
      <c r="R114" t="s">
        <v>469</v>
      </c>
      <c r="S114" s="4">
        <v>44000</v>
      </c>
      <c r="T114" s="4">
        <v>44030</v>
      </c>
      <c r="U114" s="3">
        <v>960276</v>
      </c>
      <c r="V114" s="3">
        <v>0</v>
      </c>
      <c r="W114" s="3">
        <v>0</v>
      </c>
      <c r="X114" s="3">
        <v>0</v>
      </c>
      <c r="Y114" s="3">
        <v>0</v>
      </c>
      <c r="Z114" s="3">
        <f t="shared" si="1"/>
        <v>960276</v>
      </c>
      <c r="AA114" t="s">
        <v>629</v>
      </c>
      <c r="AB114" s="19" t="s">
        <v>632</v>
      </c>
    </row>
    <row r="115" spans="1:28">
      <c r="A115" t="s">
        <v>431</v>
      </c>
      <c r="B115" s="2">
        <v>2</v>
      </c>
      <c r="C115" s="1" t="s">
        <v>26</v>
      </c>
      <c r="D115" t="s">
        <v>27</v>
      </c>
      <c r="E115" s="2" t="s">
        <v>439</v>
      </c>
      <c r="F115" s="2" t="s">
        <v>452</v>
      </c>
      <c r="G115" s="2">
        <v>830059566</v>
      </c>
      <c r="H115" s="2">
        <v>0</v>
      </c>
      <c r="I115" t="s">
        <v>434</v>
      </c>
      <c r="J115" s="2" t="s">
        <v>77</v>
      </c>
      <c r="K115" s="1" t="s">
        <v>78</v>
      </c>
      <c r="L115" t="s">
        <v>79</v>
      </c>
      <c r="M115" s="3" t="s">
        <v>61</v>
      </c>
      <c r="N115" s="3" t="s">
        <v>61</v>
      </c>
      <c r="O115" s="1" t="s">
        <v>46</v>
      </c>
      <c r="P115" s="1" t="s">
        <v>46</v>
      </c>
      <c r="Q115" t="s">
        <v>62</v>
      </c>
      <c r="R115" t="s">
        <v>470</v>
      </c>
      <c r="S115" s="4">
        <v>44026</v>
      </c>
      <c r="T115" s="4">
        <v>44057</v>
      </c>
      <c r="U115" s="3">
        <v>1104535</v>
      </c>
      <c r="V115" s="3">
        <v>0</v>
      </c>
      <c r="W115" s="3">
        <v>0</v>
      </c>
      <c r="X115" s="3">
        <v>0</v>
      </c>
      <c r="Y115" s="3">
        <v>0</v>
      </c>
      <c r="Z115" s="3">
        <f t="shared" si="1"/>
        <v>1104535</v>
      </c>
      <c r="AA115" t="s">
        <v>629</v>
      </c>
      <c r="AB115" s="19" t="s">
        <v>632</v>
      </c>
    </row>
    <row r="116" spans="1:28">
      <c r="A116" t="s">
        <v>471</v>
      </c>
      <c r="B116" s="2">
        <v>4</v>
      </c>
      <c r="C116" s="1" t="s">
        <v>26</v>
      </c>
      <c r="D116" t="s">
        <v>27</v>
      </c>
      <c r="E116" s="2" t="s">
        <v>120</v>
      </c>
      <c r="F116" s="2" t="s">
        <v>472</v>
      </c>
      <c r="G116" s="2">
        <v>890103197</v>
      </c>
      <c r="H116" s="2">
        <v>0</v>
      </c>
      <c r="I116" t="s">
        <v>473</v>
      </c>
      <c r="J116" s="2" t="s">
        <v>77</v>
      </c>
      <c r="K116" s="1" t="s">
        <v>78</v>
      </c>
      <c r="L116" t="s">
        <v>79</v>
      </c>
      <c r="M116" s="3">
        <v>49444815.240000002</v>
      </c>
      <c r="N116" s="3">
        <v>46386330.18</v>
      </c>
      <c r="O116" s="1" t="s">
        <v>474</v>
      </c>
      <c r="P116" s="1" t="s">
        <v>475</v>
      </c>
      <c r="Q116" t="s">
        <v>387</v>
      </c>
      <c r="R116" t="s">
        <v>476</v>
      </c>
      <c r="S116" s="4">
        <v>45971</v>
      </c>
      <c r="T116" s="4">
        <v>46001</v>
      </c>
      <c r="U116" s="3">
        <v>0</v>
      </c>
      <c r="V116" s="3">
        <v>0</v>
      </c>
      <c r="W116" s="3">
        <v>0</v>
      </c>
      <c r="X116" s="3">
        <v>23193165.09</v>
      </c>
      <c r="Y116" s="3">
        <v>0</v>
      </c>
      <c r="Z116" s="3">
        <f t="shared" si="1"/>
        <v>23193165.09</v>
      </c>
      <c r="AA116" t="s">
        <v>627</v>
      </c>
      <c r="AB116" s="19" t="s">
        <v>632</v>
      </c>
    </row>
    <row r="117" spans="1:28">
      <c r="A117" t="s">
        <v>471</v>
      </c>
      <c r="B117" s="2">
        <v>4</v>
      </c>
      <c r="C117" s="1" t="s">
        <v>26</v>
      </c>
      <c r="D117" t="s">
        <v>27</v>
      </c>
      <c r="E117" s="2" t="s">
        <v>120</v>
      </c>
      <c r="F117" s="2" t="s">
        <v>472</v>
      </c>
      <c r="G117" s="2">
        <v>890103197</v>
      </c>
      <c r="H117" s="2">
        <v>0</v>
      </c>
      <c r="I117" t="s">
        <v>473</v>
      </c>
      <c r="J117" s="2" t="s">
        <v>77</v>
      </c>
      <c r="K117" s="1" t="s">
        <v>78</v>
      </c>
      <c r="L117" t="s">
        <v>79</v>
      </c>
      <c r="M117" s="3" t="s">
        <v>61</v>
      </c>
      <c r="N117" s="3" t="s">
        <v>61</v>
      </c>
      <c r="O117" s="1" t="s">
        <v>46</v>
      </c>
      <c r="P117" s="1" t="s">
        <v>46</v>
      </c>
      <c r="Q117" t="s">
        <v>62</v>
      </c>
      <c r="R117" t="s">
        <v>477</v>
      </c>
      <c r="S117" s="4">
        <v>46000</v>
      </c>
      <c r="T117" s="4">
        <v>46031</v>
      </c>
      <c r="U117" s="3">
        <v>0</v>
      </c>
      <c r="V117" s="3">
        <v>0</v>
      </c>
      <c r="W117" s="3">
        <v>0</v>
      </c>
      <c r="X117" s="3">
        <v>0</v>
      </c>
      <c r="Y117" s="3">
        <v>23193165.09</v>
      </c>
      <c r="Z117" s="3">
        <f t="shared" si="1"/>
        <v>23193165.09</v>
      </c>
      <c r="AA117" t="s">
        <v>627</v>
      </c>
      <c r="AB117" s="19" t="s">
        <v>632</v>
      </c>
    </row>
    <row r="118" spans="1:28">
      <c r="A118" t="s">
        <v>471</v>
      </c>
      <c r="B118" s="2">
        <v>4</v>
      </c>
      <c r="C118" s="1" t="s">
        <v>26</v>
      </c>
      <c r="D118" t="s">
        <v>27</v>
      </c>
      <c r="E118" s="2" t="s">
        <v>120</v>
      </c>
      <c r="F118" s="2" t="s">
        <v>121</v>
      </c>
      <c r="G118" s="2">
        <v>890103197</v>
      </c>
      <c r="H118" s="2">
        <v>0</v>
      </c>
      <c r="I118" t="s">
        <v>473</v>
      </c>
      <c r="J118" s="2" t="s">
        <v>77</v>
      </c>
      <c r="K118" s="1" t="s">
        <v>78</v>
      </c>
      <c r="L118" t="s">
        <v>79</v>
      </c>
      <c r="M118" s="3" t="s">
        <v>61</v>
      </c>
      <c r="N118" s="3" t="s">
        <v>61</v>
      </c>
      <c r="O118" s="1" t="s">
        <v>46</v>
      </c>
      <c r="P118" s="1" t="s">
        <v>46</v>
      </c>
      <c r="Q118" t="s">
        <v>62</v>
      </c>
      <c r="R118" t="s">
        <v>478</v>
      </c>
      <c r="S118" s="4">
        <v>46038</v>
      </c>
      <c r="T118" s="4">
        <v>46069</v>
      </c>
      <c r="U118" s="3">
        <v>0</v>
      </c>
      <c r="V118" s="3">
        <v>0</v>
      </c>
      <c r="W118" s="3">
        <v>0</v>
      </c>
      <c r="X118" s="3">
        <v>0</v>
      </c>
      <c r="Y118" s="3">
        <v>3058485.06</v>
      </c>
      <c r="Z118" s="3">
        <f t="shared" si="1"/>
        <v>3058485.06</v>
      </c>
      <c r="AA118" t="s">
        <v>628</v>
      </c>
      <c r="AB118" s="19" t="s">
        <v>632</v>
      </c>
    </row>
    <row r="119" spans="1:28">
      <c r="A119" t="s">
        <v>479</v>
      </c>
      <c r="B119" s="2">
        <v>2</v>
      </c>
      <c r="C119" s="1" t="s">
        <v>26</v>
      </c>
      <c r="D119" t="s">
        <v>27</v>
      </c>
      <c r="E119" s="2" t="s">
        <v>480</v>
      </c>
      <c r="F119" s="2" t="s">
        <v>481</v>
      </c>
      <c r="G119" s="2">
        <v>901724081</v>
      </c>
      <c r="H119" s="2">
        <v>0</v>
      </c>
      <c r="I119" t="s">
        <v>482</v>
      </c>
      <c r="J119" s="2" t="s">
        <v>483</v>
      </c>
      <c r="K119" s="1" t="s">
        <v>484</v>
      </c>
      <c r="L119" t="s">
        <v>485</v>
      </c>
      <c r="M119" s="3">
        <v>3115200</v>
      </c>
      <c r="N119" s="3">
        <v>3115200</v>
      </c>
      <c r="O119" s="1" t="s">
        <v>486</v>
      </c>
      <c r="P119" s="1" t="s">
        <v>46</v>
      </c>
      <c r="Q119" t="s">
        <v>81</v>
      </c>
      <c r="R119" t="s">
        <v>487</v>
      </c>
      <c r="S119" s="4">
        <v>45777</v>
      </c>
      <c r="T119" s="4">
        <v>45777</v>
      </c>
      <c r="U119" s="3">
        <v>0</v>
      </c>
      <c r="V119" s="3">
        <v>3115200</v>
      </c>
      <c r="W119" s="3">
        <v>0</v>
      </c>
      <c r="X119" s="3">
        <v>0</v>
      </c>
      <c r="Y119" s="3">
        <v>0</v>
      </c>
      <c r="Z119" s="3">
        <f t="shared" si="1"/>
        <v>3115200</v>
      </c>
      <c r="AA119" t="s">
        <v>627</v>
      </c>
      <c r="AB119" s="19" t="s">
        <v>632</v>
      </c>
    </row>
    <row r="120" spans="1:28">
      <c r="A120" t="s">
        <v>488</v>
      </c>
      <c r="B120" s="2">
        <v>1</v>
      </c>
      <c r="C120" s="1" t="s">
        <v>26</v>
      </c>
      <c r="D120" t="s">
        <v>27</v>
      </c>
      <c r="E120" s="2" t="s">
        <v>489</v>
      </c>
      <c r="F120" s="2" t="s">
        <v>490</v>
      </c>
      <c r="G120" s="2">
        <v>901354361</v>
      </c>
      <c r="H120" s="2">
        <v>0</v>
      </c>
      <c r="I120" t="s">
        <v>491</v>
      </c>
      <c r="J120" s="2" t="s">
        <v>393</v>
      </c>
      <c r="K120" s="1" t="s">
        <v>394</v>
      </c>
      <c r="L120" t="s">
        <v>44</v>
      </c>
      <c r="M120" s="3">
        <v>21700380</v>
      </c>
      <c r="N120" s="3">
        <v>21700380</v>
      </c>
      <c r="O120" s="1" t="s">
        <v>492</v>
      </c>
      <c r="P120" s="1" t="s">
        <v>46</v>
      </c>
      <c r="Q120" t="s">
        <v>47</v>
      </c>
      <c r="R120" t="s">
        <v>493</v>
      </c>
      <c r="S120" s="4">
        <v>45369</v>
      </c>
      <c r="T120" s="4">
        <v>45400</v>
      </c>
      <c r="U120" s="3">
        <v>21700380</v>
      </c>
      <c r="V120" s="3">
        <v>0</v>
      </c>
      <c r="W120" s="3">
        <v>0</v>
      </c>
      <c r="X120" s="3">
        <v>0</v>
      </c>
      <c r="Y120" s="3">
        <v>0</v>
      </c>
      <c r="Z120" s="3">
        <f t="shared" si="1"/>
        <v>21700380</v>
      </c>
      <c r="AA120" t="s">
        <v>630</v>
      </c>
      <c r="AB120" s="19" t="s">
        <v>632</v>
      </c>
    </row>
    <row r="121" spans="1:28">
      <c r="A121" t="s">
        <v>494</v>
      </c>
      <c r="B121" s="2">
        <v>5</v>
      </c>
      <c r="C121" s="1" t="s">
        <v>26</v>
      </c>
      <c r="D121" t="s">
        <v>27</v>
      </c>
      <c r="E121" s="2" t="s">
        <v>155</v>
      </c>
      <c r="F121" s="2" t="s">
        <v>156</v>
      </c>
      <c r="G121" s="2">
        <v>901569808</v>
      </c>
      <c r="H121" s="2">
        <v>0</v>
      </c>
      <c r="I121" t="s">
        <v>495</v>
      </c>
      <c r="J121" s="2" t="s">
        <v>53</v>
      </c>
      <c r="K121" s="1" t="s">
        <v>54</v>
      </c>
      <c r="L121" t="s">
        <v>55</v>
      </c>
      <c r="M121" s="3">
        <v>3450000</v>
      </c>
      <c r="N121" s="3">
        <v>3450000</v>
      </c>
      <c r="O121" s="1" t="s">
        <v>496</v>
      </c>
      <c r="P121" s="1" t="s">
        <v>46</v>
      </c>
      <c r="Q121" t="s">
        <v>497</v>
      </c>
      <c r="R121" t="s">
        <v>498</v>
      </c>
      <c r="S121" s="4">
        <v>45516</v>
      </c>
      <c r="T121" s="4">
        <v>45559</v>
      </c>
      <c r="U121" s="3">
        <v>1150000</v>
      </c>
      <c r="V121" s="3">
        <v>0</v>
      </c>
      <c r="W121" s="3">
        <v>0</v>
      </c>
      <c r="X121" s="3">
        <v>0</v>
      </c>
      <c r="Y121" s="3">
        <v>0</v>
      </c>
      <c r="Z121" s="3">
        <f t="shared" si="1"/>
        <v>1150000</v>
      </c>
      <c r="AA121" t="s">
        <v>630</v>
      </c>
      <c r="AB121" s="19" t="s">
        <v>632</v>
      </c>
    </row>
    <row r="122" spans="1:28">
      <c r="A122" t="s">
        <v>494</v>
      </c>
      <c r="B122" s="2">
        <v>5</v>
      </c>
      <c r="C122" s="1" t="s">
        <v>26</v>
      </c>
      <c r="D122" t="s">
        <v>27</v>
      </c>
      <c r="E122" s="2" t="s">
        <v>155</v>
      </c>
      <c r="F122" s="2" t="s">
        <v>156</v>
      </c>
      <c r="G122" s="2">
        <v>901569808</v>
      </c>
      <c r="H122" s="2">
        <v>0</v>
      </c>
      <c r="I122" t="s">
        <v>495</v>
      </c>
      <c r="J122" s="2" t="s">
        <v>53</v>
      </c>
      <c r="K122" s="1" t="s">
        <v>54</v>
      </c>
      <c r="L122" t="s">
        <v>55</v>
      </c>
      <c r="M122" s="3" t="s">
        <v>61</v>
      </c>
      <c r="N122" s="3" t="s">
        <v>61</v>
      </c>
      <c r="O122" s="1" t="s">
        <v>46</v>
      </c>
      <c r="P122" s="1" t="s">
        <v>46</v>
      </c>
      <c r="Q122" t="s">
        <v>62</v>
      </c>
      <c r="R122" t="s">
        <v>499</v>
      </c>
      <c r="S122" s="4">
        <v>45538</v>
      </c>
      <c r="T122" s="4">
        <v>45568</v>
      </c>
      <c r="U122" s="3">
        <v>1150000</v>
      </c>
      <c r="V122" s="3">
        <v>0</v>
      </c>
      <c r="W122" s="3">
        <v>0</v>
      </c>
      <c r="X122" s="3">
        <v>0</v>
      </c>
      <c r="Y122" s="3">
        <v>0</v>
      </c>
      <c r="Z122" s="3">
        <f t="shared" si="1"/>
        <v>1150000</v>
      </c>
      <c r="AA122" t="s">
        <v>630</v>
      </c>
      <c r="AB122" s="19" t="s">
        <v>632</v>
      </c>
    </row>
    <row r="123" spans="1:28">
      <c r="A123" t="s">
        <v>494</v>
      </c>
      <c r="B123" s="2">
        <v>5</v>
      </c>
      <c r="C123" s="1" t="s">
        <v>26</v>
      </c>
      <c r="D123" t="s">
        <v>27</v>
      </c>
      <c r="E123" s="2" t="s">
        <v>155</v>
      </c>
      <c r="F123" s="2" t="s">
        <v>156</v>
      </c>
      <c r="G123" s="2">
        <v>901569808</v>
      </c>
      <c r="H123" s="2">
        <v>0</v>
      </c>
      <c r="I123" t="s">
        <v>495</v>
      </c>
      <c r="J123" s="2" t="s">
        <v>53</v>
      </c>
      <c r="K123" s="1" t="s">
        <v>54</v>
      </c>
      <c r="L123" t="s">
        <v>55</v>
      </c>
      <c r="M123" s="3" t="s">
        <v>61</v>
      </c>
      <c r="N123" s="3" t="s">
        <v>61</v>
      </c>
      <c r="O123" s="1" t="s">
        <v>46</v>
      </c>
      <c r="P123" s="1" t="s">
        <v>46</v>
      </c>
      <c r="Q123" t="s">
        <v>62</v>
      </c>
      <c r="R123" t="s">
        <v>500</v>
      </c>
      <c r="S123" s="4">
        <v>45596</v>
      </c>
      <c r="T123" s="4">
        <v>45598</v>
      </c>
      <c r="U123" s="3">
        <v>1150000</v>
      </c>
      <c r="V123" s="3">
        <v>0</v>
      </c>
      <c r="W123" s="3">
        <v>0</v>
      </c>
      <c r="X123" s="3">
        <v>0</v>
      </c>
      <c r="Y123" s="3">
        <v>0</v>
      </c>
      <c r="Z123" s="3">
        <f t="shared" si="1"/>
        <v>1150000</v>
      </c>
      <c r="AA123" t="s">
        <v>630</v>
      </c>
      <c r="AB123" s="19" t="s">
        <v>632</v>
      </c>
    </row>
    <row r="124" spans="1:28">
      <c r="A124" t="s">
        <v>501</v>
      </c>
      <c r="B124" s="2">
        <v>0</v>
      </c>
      <c r="C124" s="1" t="s">
        <v>26</v>
      </c>
      <c r="D124" t="s">
        <v>27</v>
      </c>
      <c r="E124" s="2" t="s">
        <v>120</v>
      </c>
      <c r="F124" s="2" t="s">
        <v>502</v>
      </c>
      <c r="G124" s="2">
        <v>860354098</v>
      </c>
      <c r="H124" s="2">
        <v>0</v>
      </c>
      <c r="I124" t="s">
        <v>503</v>
      </c>
      <c r="J124" s="2" t="s">
        <v>77</v>
      </c>
      <c r="K124" s="1" t="s">
        <v>78</v>
      </c>
      <c r="L124" t="s">
        <v>79</v>
      </c>
      <c r="M124" s="3">
        <v>30005631.43</v>
      </c>
      <c r="N124" s="3">
        <v>29011754.079999998</v>
      </c>
      <c r="O124" s="1" t="s">
        <v>504</v>
      </c>
      <c r="P124" s="1" t="s">
        <v>505</v>
      </c>
      <c r="Q124" t="s">
        <v>47</v>
      </c>
      <c r="R124" t="s">
        <v>506</v>
      </c>
      <c r="S124" s="4">
        <v>45905</v>
      </c>
      <c r="T124" s="4">
        <v>45935</v>
      </c>
      <c r="U124" s="3">
        <v>0</v>
      </c>
      <c r="V124" s="3">
        <v>6967633.25</v>
      </c>
      <c r="W124" s="3">
        <v>0</v>
      </c>
      <c r="X124" s="3">
        <v>0</v>
      </c>
      <c r="Y124" s="3">
        <v>0</v>
      </c>
      <c r="Z124" s="3">
        <f t="shared" si="1"/>
        <v>6967633.25</v>
      </c>
      <c r="AA124" t="s">
        <v>627</v>
      </c>
      <c r="AB124" s="19" t="s">
        <v>632</v>
      </c>
    </row>
    <row r="125" spans="1:28">
      <c r="A125" t="s">
        <v>501</v>
      </c>
      <c r="B125" s="2">
        <v>0</v>
      </c>
      <c r="C125" s="1" t="s">
        <v>26</v>
      </c>
      <c r="D125" t="s">
        <v>27</v>
      </c>
      <c r="E125" s="2" t="s">
        <v>120</v>
      </c>
      <c r="F125" s="2" t="s">
        <v>507</v>
      </c>
      <c r="G125" s="2">
        <v>860354098</v>
      </c>
      <c r="H125" s="2">
        <v>0</v>
      </c>
      <c r="I125" t="s">
        <v>503</v>
      </c>
      <c r="J125" s="2" t="s">
        <v>77</v>
      </c>
      <c r="K125" s="1" t="s">
        <v>78</v>
      </c>
      <c r="L125" t="s">
        <v>79</v>
      </c>
      <c r="M125" s="3" t="s">
        <v>61</v>
      </c>
      <c r="N125" s="3" t="s">
        <v>61</v>
      </c>
      <c r="O125" s="1" t="s">
        <v>46</v>
      </c>
      <c r="P125" s="1" t="s">
        <v>46</v>
      </c>
      <c r="Q125" t="s">
        <v>62</v>
      </c>
      <c r="R125" t="s">
        <v>508</v>
      </c>
      <c r="S125" s="4">
        <v>45938</v>
      </c>
      <c r="T125" s="4">
        <v>45969</v>
      </c>
      <c r="U125" s="3">
        <v>0</v>
      </c>
      <c r="V125" s="3">
        <v>0</v>
      </c>
      <c r="W125" s="3">
        <v>6967633.25</v>
      </c>
      <c r="X125" s="3">
        <v>0</v>
      </c>
      <c r="Y125" s="3">
        <v>0</v>
      </c>
      <c r="Z125" s="3">
        <f t="shared" si="1"/>
        <v>6967633.25</v>
      </c>
      <c r="AA125" t="s">
        <v>627</v>
      </c>
      <c r="AB125" s="19" t="s">
        <v>632</v>
      </c>
    </row>
    <row r="126" spans="1:28">
      <c r="A126" t="s">
        <v>501</v>
      </c>
      <c r="B126" s="2">
        <v>0</v>
      </c>
      <c r="C126" s="1" t="s">
        <v>26</v>
      </c>
      <c r="D126" t="s">
        <v>27</v>
      </c>
      <c r="E126" s="2" t="s">
        <v>120</v>
      </c>
      <c r="F126" s="2" t="s">
        <v>472</v>
      </c>
      <c r="G126" s="2">
        <v>860354098</v>
      </c>
      <c r="H126" s="2">
        <v>0</v>
      </c>
      <c r="I126" t="s">
        <v>503</v>
      </c>
      <c r="J126" s="2" t="s">
        <v>77</v>
      </c>
      <c r="K126" s="1" t="s">
        <v>78</v>
      </c>
      <c r="L126" t="s">
        <v>79</v>
      </c>
      <c r="M126" s="3" t="s">
        <v>61</v>
      </c>
      <c r="N126" s="3" t="s">
        <v>61</v>
      </c>
      <c r="O126" s="1" t="s">
        <v>46</v>
      </c>
      <c r="P126" s="1" t="s">
        <v>46</v>
      </c>
      <c r="Q126" t="s">
        <v>62</v>
      </c>
      <c r="R126" t="s">
        <v>509</v>
      </c>
      <c r="S126" s="4">
        <v>45971</v>
      </c>
      <c r="T126" s="4">
        <v>46001</v>
      </c>
      <c r="U126" s="3">
        <v>0</v>
      </c>
      <c r="V126" s="3">
        <v>0</v>
      </c>
      <c r="W126" s="3">
        <v>0</v>
      </c>
      <c r="X126" s="3">
        <v>7538243.79</v>
      </c>
      <c r="Y126" s="3">
        <v>0</v>
      </c>
      <c r="Z126" s="3">
        <f t="shared" si="1"/>
        <v>7538243.79</v>
      </c>
      <c r="AA126" t="s">
        <v>627</v>
      </c>
      <c r="AB126" s="19" t="s">
        <v>632</v>
      </c>
    </row>
    <row r="127" spans="1:28">
      <c r="A127" t="s">
        <v>501</v>
      </c>
      <c r="B127" s="2">
        <v>0</v>
      </c>
      <c r="C127" s="1" t="s">
        <v>26</v>
      </c>
      <c r="D127" t="s">
        <v>27</v>
      </c>
      <c r="E127" s="2" t="s">
        <v>120</v>
      </c>
      <c r="F127" s="2" t="s">
        <v>121</v>
      </c>
      <c r="G127" s="2">
        <v>860354098</v>
      </c>
      <c r="H127" s="2">
        <v>0</v>
      </c>
      <c r="I127" t="s">
        <v>503</v>
      </c>
      <c r="J127" s="2" t="s">
        <v>77</v>
      </c>
      <c r="K127" s="1" t="s">
        <v>78</v>
      </c>
      <c r="L127" t="s">
        <v>79</v>
      </c>
      <c r="M127" s="3" t="s">
        <v>61</v>
      </c>
      <c r="N127" s="3" t="s">
        <v>61</v>
      </c>
      <c r="O127" s="1" t="s">
        <v>46</v>
      </c>
      <c r="P127" s="1" t="s">
        <v>46</v>
      </c>
      <c r="Q127" t="s">
        <v>62</v>
      </c>
      <c r="R127" t="s">
        <v>510</v>
      </c>
      <c r="S127" s="4">
        <v>45995</v>
      </c>
      <c r="T127" s="4">
        <v>46026</v>
      </c>
      <c r="U127" s="3">
        <v>0</v>
      </c>
      <c r="V127" s="3">
        <v>0</v>
      </c>
      <c r="W127" s="3">
        <v>0</v>
      </c>
      <c r="X127" s="3">
        <v>0</v>
      </c>
      <c r="Y127" s="3">
        <v>7538243.79</v>
      </c>
      <c r="Z127" s="3">
        <f t="shared" si="1"/>
        <v>7538243.79</v>
      </c>
      <c r="AA127" t="s">
        <v>627</v>
      </c>
      <c r="AB127" s="19" t="s">
        <v>632</v>
      </c>
    </row>
    <row r="128" spans="1:28">
      <c r="A128" t="s">
        <v>501</v>
      </c>
      <c r="B128" s="2">
        <v>0</v>
      </c>
      <c r="C128" s="1" t="s">
        <v>26</v>
      </c>
      <c r="D128" t="s">
        <v>27</v>
      </c>
      <c r="E128" s="2" t="s">
        <v>120</v>
      </c>
      <c r="F128" s="2" t="s">
        <v>121</v>
      </c>
      <c r="G128" s="2">
        <v>860354098</v>
      </c>
      <c r="H128" s="2">
        <v>0</v>
      </c>
      <c r="I128" t="s">
        <v>503</v>
      </c>
      <c r="J128" s="2" t="s">
        <v>77</v>
      </c>
      <c r="K128" s="1" t="s">
        <v>78</v>
      </c>
      <c r="L128" t="s">
        <v>79</v>
      </c>
      <c r="M128" s="3" t="s">
        <v>61</v>
      </c>
      <c r="N128" s="3" t="s">
        <v>61</v>
      </c>
      <c r="O128" s="1" t="s">
        <v>46</v>
      </c>
      <c r="P128" s="1" t="s">
        <v>46</v>
      </c>
      <c r="Q128" t="s">
        <v>62</v>
      </c>
      <c r="R128" t="s">
        <v>511</v>
      </c>
      <c r="S128" s="4">
        <v>46038</v>
      </c>
      <c r="T128" s="4">
        <v>46069</v>
      </c>
      <c r="U128" s="3">
        <v>0</v>
      </c>
      <c r="V128" s="3">
        <v>0</v>
      </c>
      <c r="W128" s="3">
        <v>0</v>
      </c>
      <c r="X128" s="3">
        <v>0</v>
      </c>
      <c r="Y128" s="3">
        <v>993877.35</v>
      </c>
      <c r="Z128" s="3">
        <f t="shared" si="1"/>
        <v>993877.35</v>
      </c>
      <c r="AA128" t="s">
        <v>628</v>
      </c>
      <c r="AB128" s="19" t="s">
        <v>632</v>
      </c>
    </row>
    <row r="129" spans="1:28">
      <c r="A129" t="s">
        <v>512</v>
      </c>
      <c r="B129" s="2">
        <v>9</v>
      </c>
      <c r="C129" s="1" t="s">
        <v>26</v>
      </c>
      <c r="D129" t="s">
        <v>27</v>
      </c>
      <c r="E129" s="2" t="s">
        <v>74</v>
      </c>
      <c r="F129" s="2" t="s">
        <v>75</v>
      </c>
      <c r="G129" s="2">
        <v>900141687</v>
      </c>
      <c r="H129" s="2">
        <v>0</v>
      </c>
      <c r="I129" t="s">
        <v>513</v>
      </c>
      <c r="J129" s="2" t="s">
        <v>77</v>
      </c>
      <c r="K129" s="1" t="s">
        <v>78</v>
      </c>
      <c r="L129" t="s">
        <v>79</v>
      </c>
      <c r="M129" s="3">
        <v>4537634.8</v>
      </c>
      <c r="N129" s="3">
        <v>4537634.8</v>
      </c>
      <c r="O129" s="1" t="s">
        <v>514</v>
      </c>
      <c r="P129" s="1" t="s">
        <v>46</v>
      </c>
      <c r="Q129" t="s">
        <v>47</v>
      </c>
      <c r="R129" t="s">
        <v>515</v>
      </c>
      <c r="S129" s="4">
        <v>44994</v>
      </c>
      <c r="T129" s="4">
        <v>45025</v>
      </c>
      <c r="U129" s="3">
        <v>34408.699999999997</v>
      </c>
      <c r="V129" s="3">
        <v>0</v>
      </c>
      <c r="W129" s="3">
        <v>0</v>
      </c>
      <c r="X129" s="3">
        <v>0</v>
      </c>
      <c r="Y129" s="3">
        <v>0</v>
      </c>
      <c r="Z129" s="3">
        <f t="shared" si="1"/>
        <v>34408.699999999997</v>
      </c>
      <c r="AA129" t="s">
        <v>630</v>
      </c>
      <c r="AB129" s="19" t="s">
        <v>632</v>
      </c>
    </row>
    <row r="130" spans="1:28">
      <c r="A130" t="s">
        <v>512</v>
      </c>
      <c r="B130" s="2">
        <v>9</v>
      </c>
      <c r="C130" s="1" t="s">
        <v>26</v>
      </c>
      <c r="D130" t="s">
        <v>27</v>
      </c>
      <c r="E130" s="2" t="s">
        <v>74</v>
      </c>
      <c r="F130" s="2" t="s">
        <v>83</v>
      </c>
      <c r="G130" s="2">
        <v>900141687</v>
      </c>
      <c r="H130" s="2">
        <v>0</v>
      </c>
      <c r="I130" t="s">
        <v>513</v>
      </c>
      <c r="J130" s="2" t="s">
        <v>77</v>
      </c>
      <c r="K130" s="1" t="s">
        <v>78</v>
      </c>
      <c r="L130" t="s">
        <v>79</v>
      </c>
      <c r="M130" s="3" t="s">
        <v>61</v>
      </c>
      <c r="N130" s="3" t="s">
        <v>61</v>
      </c>
      <c r="O130" s="1" t="s">
        <v>46</v>
      </c>
      <c r="P130" s="1" t="s">
        <v>46</v>
      </c>
      <c r="Q130" t="s">
        <v>62</v>
      </c>
      <c r="R130" t="s">
        <v>516</v>
      </c>
      <c r="S130" s="4">
        <v>45037</v>
      </c>
      <c r="T130" s="4">
        <v>45067</v>
      </c>
      <c r="U130" s="3">
        <v>34408.699999999997</v>
      </c>
      <c r="V130" s="3">
        <v>0</v>
      </c>
      <c r="W130" s="3">
        <v>0</v>
      </c>
      <c r="X130" s="3">
        <v>0</v>
      </c>
      <c r="Y130" s="3">
        <v>0</v>
      </c>
      <c r="Z130" s="3">
        <f t="shared" si="1"/>
        <v>34408.699999999997</v>
      </c>
      <c r="AA130" t="s">
        <v>630</v>
      </c>
      <c r="AB130" s="19" t="s">
        <v>632</v>
      </c>
    </row>
    <row r="131" spans="1:28">
      <c r="A131" t="s">
        <v>512</v>
      </c>
      <c r="B131" s="2">
        <v>9</v>
      </c>
      <c r="C131" s="1" t="s">
        <v>26</v>
      </c>
      <c r="D131" t="s">
        <v>27</v>
      </c>
      <c r="E131" s="2" t="s">
        <v>74</v>
      </c>
      <c r="F131" s="2" t="s">
        <v>85</v>
      </c>
      <c r="G131" s="2">
        <v>900141687</v>
      </c>
      <c r="H131" s="2">
        <v>0</v>
      </c>
      <c r="I131" t="s">
        <v>513</v>
      </c>
      <c r="J131" s="2" t="s">
        <v>77</v>
      </c>
      <c r="K131" s="1" t="s">
        <v>78</v>
      </c>
      <c r="L131" t="s">
        <v>79</v>
      </c>
      <c r="M131" s="3" t="s">
        <v>61</v>
      </c>
      <c r="N131" s="3" t="s">
        <v>61</v>
      </c>
      <c r="O131" s="1" t="s">
        <v>46</v>
      </c>
      <c r="P131" s="1" t="s">
        <v>46</v>
      </c>
      <c r="Q131" t="s">
        <v>62</v>
      </c>
      <c r="R131" t="s">
        <v>517</v>
      </c>
      <c r="S131" s="4">
        <v>45061</v>
      </c>
      <c r="T131" s="4">
        <v>45092</v>
      </c>
      <c r="U131" s="3">
        <v>2234408.7000000002</v>
      </c>
      <c r="V131" s="3">
        <v>0</v>
      </c>
      <c r="W131" s="3">
        <v>0</v>
      </c>
      <c r="X131" s="3">
        <v>0</v>
      </c>
      <c r="Y131" s="3">
        <v>0</v>
      </c>
      <c r="Z131" s="3">
        <f t="shared" si="1"/>
        <v>2234408.7000000002</v>
      </c>
      <c r="AA131" t="s">
        <v>630</v>
      </c>
      <c r="AB131" s="19" t="s">
        <v>632</v>
      </c>
    </row>
    <row r="132" spans="1:28">
      <c r="A132" t="s">
        <v>512</v>
      </c>
      <c r="B132" s="2">
        <v>9</v>
      </c>
      <c r="C132" s="1" t="s">
        <v>26</v>
      </c>
      <c r="D132" t="s">
        <v>27</v>
      </c>
      <c r="E132" s="2" t="s">
        <v>74</v>
      </c>
      <c r="F132" s="2" t="s">
        <v>87</v>
      </c>
      <c r="G132" s="2">
        <v>900141687</v>
      </c>
      <c r="H132" s="2">
        <v>0</v>
      </c>
      <c r="I132" t="s">
        <v>513</v>
      </c>
      <c r="J132" s="2" t="s">
        <v>77</v>
      </c>
      <c r="K132" s="1" t="s">
        <v>78</v>
      </c>
      <c r="L132" t="s">
        <v>79</v>
      </c>
      <c r="M132" s="3" t="s">
        <v>61</v>
      </c>
      <c r="N132" s="3" t="s">
        <v>61</v>
      </c>
      <c r="O132" s="1" t="s">
        <v>46</v>
      </c>
      <c r="P132" s="1" t="s">
        <v>46</v>
      </c>
      <c r="Q132" t="s">
        <v>62</v>
      </c>
      <c r="R132" t="s">
        <v>518</v>
      </c>
      <c r="S132" s="4">
        <v>45103</v>
      </c>
      <c r="T132" s="4">
        <v>45133</v>
      </c>
      <c r="U132" s="3">
        <v>2234408.7000000002</v>
      </c>
      <c r="V132" s="3">
        <v>0</v>
      </c>
      <c r="W132" s="3">
        <v>0</v>
      </c>
      <c r="X132" s="3">
        <v>0</v>
      </c>
      <c r="Y132" s="3">
        <v>0</v>
      </c>
      <c r="Z132" s="3">
        <f t="shared" si="1"/>
        <v>2234408.7000000002</v>
      </c>
      <c r="AA132" t="s">
        <v>630</v>
      </c>
      <c r="AB132" s="19" t="s">
        <v>632</v>
      </c>
    </row>
    <row r="133" spans="1:28">
      <c r="A133" t="s">
        <v>519</v>
      </c>
      <c r="B133" s="2">
        <v>2</v>
      </c>
      <c r="C133" s="1" t="s">
        <v>26</v>
      </c>
      <c r="D133" t="s">
        <v>27</v>
      </c>
      <c r="E133" s="2" t="s">
        <v>120</v>
      </c>
      <c r="F133" s="2" t="s">
        <v>121</v>
      </c>
      <c r="G133" s="2">
        <v>900717825</v>
      </c>
      <c r="H133" s="2">
        <v>0</v>
      </c>
      <c r="I133" t="s">
        <v>520</v>
      </c>
      <c r="J133" s="2" t="s">
        <v>521</v>
      </c>
      <c r="K133" s="1" t="s">
        <v>522</v>
      </c>
      <c r="L133" t="s">
        <v>79</v>
      </c>
      <c r="M133" s="3">
        <v>38650794.299999997</v>
      </c>
      <c r="N133" s="3">
        <v>38650794.299999997</v>
      </c>
      <c r="O133" s="1" t="s">
        <v>523</v>
      </c>
      <c r="P133" s="1" t="s">
        <v>46</v>
      </c>
      <c r="Q133" t="s">
        <v>117</v>
      </c>
      <c r="R133" t="s">
        <v>524</v>
      </c>
      <c r="S133" s="4">
        <v>45993</v>
      </c>
      <c r="T133" s="4">
        <v>46024</v>
      </c>
      <c r="U133" s="3">
        <v>0</v>
      </c>
      <c r="V133" s="3">
        <v>0</v>
      </c>
      <c r="W133" s="3">
        <v>0</v>
      </c>
      <c r="X133" s="3">
        <v>0</v>
      </c>
      <c r="Y133" s="3">
        <v>38650794.299999997</v>
      </c>
      <c r="Z133" s="3">
        <f t="shared" si="1"/>
        <v>38650794.299999997</v>
      </c>
      <c r="AA133" t="s">
        <v>627</v>
      </c>
      <c r="AB133" s="19" t="s">
        <v>632</v>
      </c>
    </row>
    <row r="134" spans="1:28">
      <c r="A134" t="s">
        <v>525</v>
      </c>
      <c r="B134" s="2">
        <v>2</v>
      </c>
      <c r="C134" s="1" t="s">
        <v>26</v>
      </c>
      <c r="D134" t="s">
        <v>27</v>
      </c>
      <c r="E134" s="2" t="s">
        <v>120</v>
      </c>
      <c r="F134" s="2" t="s">
        <v>121</v>
      </c>
      <c r="G134" s="2">
        <v>890903910</v>
      </c>
      <c r="H134" s="2">
        <v>0</v>
      </c>
      <c r="I134" t="s">
        <v>526</v>
      </c>
      <c r="J134" s="2" t="s">
        <v>77</v>
      </c>
      <c r="K134" s="1" t="s">
        <v>78</v>
      </c>
      <c r="L134" t="s">
        <v>79</v>
      </c>
      <c r="M134" s="3">
        <v>48717912.75</v>
      </c>
      <c r="N134" s="3">
        <v>43041964.490000002</v>
      </c>
      <c r="O134" s="1" t="s">
        <v>527</v>
      </c>
      <c r="P134" s="1" t="s">
        <v>46</v>
      </c>
      <c r="Q134" t="s">
        <v>47</v>
      </c>
      <c r="R134" t="s">
        <v>528</v>
      </c>
      <c r="S134" s="4">
        <v>45995</v>
      </c>
      <c r="T134" s="4">
        <v>46026</v>
      </c>
      <c r="U134" s="3">
        <v>0</v>
      </c>
      <c r="V134" s="3">
        <v>0</v>
      </c>
      <c r="W134" s="3">
        <v>0</v>
      </c>
      <c r="X134" s="3">
        <v>0</v>
      </c>
      <c r="Y134" s="3">
        <v>43041964.490000002</v>
      </c>
      <c r="Z134" s="3">
        <f t="shared" si="1"/>
        <v>43041964.490000002</v>
      </c>
      <c r="AA134" t="s">
        <v>627</v>
      </c>
      <c r="AB134" s="19" t="s">
        <v>632</v>
      </c>
    </row>
    <row r="135" spans="1:28">
      <c r="A135" t="s">
        <v>525</v>
      </c>
      <c r="B135" s="2">
        <v>2</v>
      </c>
      <c r="C135" s="1" t="s">
        <v>26</v>
      </c>
      <c r="D135" t="s">
        <v>27</v>
      </c>
      <c r="E135" s="2" t="s">
        <v>120</v>
      </c>
      <c r="F135" s="2" t="s">
        <v>121</v>
      </c>
      <c r="G135" s="2">
        <v>890903910</v>
      </c>
      <c r="H135" s="2">
        <v>0</v>
      </c>
      <c r="I135" t="s">
        <v>526</v>
      </c>
      <c r="J135" s="2" t="s">
        <v>77</v>
      </c>
      <c r="K135" s="1" t="s">
        <v>78</v>
      </c>
      <c r="L135" t="s">
        <v>79</v>
      </c>
      <c r="M135" s="3" t="s">
        <v>61</v>
      </c>
      <c r="N135" s="3" t="s">
        <v>61</v>
      </c>
      <c r="O135" s="1" t="s">
        <v>46</v>
      </c>
      <c r="P135" s="1" t="s">
        <v>46</v>
      </c>
      <c r="Q135" t="s">
        <v>62</v>
      </c>
      <c r="R135" t="s">
        <v>529</v>
      </c>
      <c r="S135" s="4">
        <v>46038</v>
      </c>
      <c r="T135" s="4">
        <v>46069</v>
      </c>
      <c r="U135" s="3">
        <v>0</v>
      </c>
      <c r="V135" s="3">
        <v>0</v>
      </c>
      <c r="W135" s="3">
        <v>0</v>
      </c>
      <c r="X135" s="3">
        <v>0</v>
      </c>
      <c r="Y135" s="3">
        <v>5675948.2599999998</v>
      </c>
      <c r="Z135" s="3">
        <f t="shared" si="1"/>
        <v>5675948.2599999998</v>
      </c>
      <c r="AA135" t="s">
        <v>628</v>
      </c>
      <c r="AB135" s="19" t="s">
        <v>632</v>
      </c>
    </row>
    <row r="136" spans="1:28">
      <c r="A136" t="s">
        <v>530</v>
      </c>
      <c r="B136" s="2">
        <v>7</v>
      </c>
      <c r="C136" s="1" t="s">
        <v>26</v>
      </c>
      <c r="D136" t="s">
        <v>27</v>
      </c>
      <c r="E136" s="2" t="s">
        <v>249</v>
      </c>
      <c r="F136" s="2" t="s">
        <v>250</v>
      </c>
      <c r="G136" s="2">
        <v>830029703</v>
      </c>
      <c r="H136" s="2">
        <v>0</v>
      </c>
      <c r="I136" t="s">
        <v>531</v>
      </c>
      <c r="J136" s="2" t="s">
        <v>77</v>
      </c>
      <c r="K136" s="1" t="s">
        <v>78</v>
      </c>
      <c r="L136" t="s">
        <v>79</v>
      </c>
      <c r="M136" s="3">
        <v>81268677.579999998</v>
      </c>
      <c r="N136" s="3">
        <v>0</v>
      </c>
      <c r="O136" s="1" t="s">
        <v>532</v>
      </c>
      <c r="P136" s="1" t="s">
        <v>533</v>
      </c>
      <c r="Q136" t="s">
        <v>47</v>
      </c>
      <c r="R136" t="s">
        <v>534</v>
      </c>
      <c r="S136" s="4">
        <v>46038</v>
      </c>
      <c r="T136" s="4">
        <v>46059</v>
      </c>
      <c r="U136" s="3">
        <v>0</v>
      </c>
      <c r="V136" s="3">
        <v>0</v>
      </c>
      <c r="W136" s="3">
        <v>0</v>
      </c>
      <c r="X136" s="3">
        <v>0</v>
      </c>
      <c r="Y136" s="3">
        <v>81268677.579999998</v>
      </c>
      <c r="Z136" s="3">
        <f t="shared" si="1"/>
        <v>81268677.579999998</v>
      </c>
      <c r="AA136" t="s">
        <v>628</v>
      </c>
      <c r="AB136" s="19" t="s">
        <v>632</v>
      </c>
    </row>
    <row r="137" spans="1:28">
      <c r="A137" t="s">
        <v>535</v>
      </c>
      <c r="B137" s="2">
        <v>5</v>
      </c>
      <c r="C137" s="1" t="s">
        <v>26</v>
      </c>
      <c r="D137" t="s">
        <v>27</v>
      </c>
      <c r="E137" s="2" t="s">
        <v>536</v>
      </c>
      <c r="F137" s="2" t="s">
        <v>537</v>
      </c>
      <c r="G137" s="2">
        <v>805009514</v>
      </c>
      <c r="H137" s="2">
        <v>0</v>
      </c>
      <c r="I137" t="s">
        <v>538</v>
      </c>
      <c r="J137" s="2" t="s">
        <v>93</v>
      </c>
      <c r="K137" s="1" t="s">
        <v>94</v>
      </c>
      <c r="L137" t="s">
        <v>95</v>
      </c>
      <c r="M137" s="3">
        <v>74865000</v>
      </c>
      <c r="N137" s="3">
        <v>74865000</v>
      </c>
      <c r="O137" s="1" t="s">
        <v>539</v>
      </c>
      <c r="P137" s="1" t="s">
        <v>46</v>
      </c>
      <c r="Q137" t="s">
        <v>228</v>
      </c>
      <c r="R137" t="s">
        <v>540</v>
      </c>
      <c r="S137" s="4">
        <v>46007</v>
      </c>
      <c r="T137" s="4">
        <v>46038</v>
      </c>
      <c r="U137" s="3">
        <v>0</v>
      </c>
      <c r="V137" s="3">
        <v>0</v>
      </c>
      <c r="W137" s="3">
        <v>0</v>
      </c>
      <c r="X137" s="3">
        <v>0</v>
      </c>
      <c r="Y137" s="3">
        <v>74865000</v>
      </c>
      <c r="Z137" s="3">
        <f t="shared" ref="Z137:Z152" si="2">SUM(U137:Y137)</f>
        <v>74865000</v>
      </c>
      <c r="AA137" t="s">
        <v>627</v>
      </c>
      <c r="AB137" s="19" t="s">
        <v>632</v>
      </c>
    </row>
    <row r="138" spans="1:28">
      <c r="A138" t="s">
        <v>541</v>
      </c>
      <c r="B138" s="2">
        <v>7</v>
      </c>
      <c r="C138" s="1" t="s">
        <v>26</v>
      </c>
      <c r="D138" t="s">
        <v>27</v>
      </c>
      <c r="E138" s="2" t="s">
        <v>542</v>
      </c>
      <c r="F138" s="2" t="s">
        <v>543</v>
      </c>
      <c r="G138" s="2">
        <v>901766186</v>
      </c>
      <c r="H138" s="2">
        <v>0</v>
      </c>
      <c r="I138" t="s">
        <v>544</v>
      </c>
      <c r="J138" s="2" t="s">
        <v>328</v>
      </c>
      <c r="K138" s="1" t="s">
        <v>329</v>
      </c>
      <c r="L138" t="s">
        <v>330</v>
      </c>
      <c r="M138" s="3">
        <v>129815499.45</v>
      </c>
      <c r="N138" s="3">
        <v>129815499.45</v>
      </c>
      <c r="O138" s="1" t="s">
        <v>545</v>
      </c>
      <c r="P138" s="1" t="s">
        <v>46</v>
      </c>
      <c r="Q138" t="s">
        <v>81</v>
      </c>
      <c r="R138" t="s">
        <v>546</v>
      </c>
      <c r="S138" s="4">
        <v>45993</v>
      </c>
      <c r="T138" s="4">
        <v>46024</v>
      </c>
      <c r="U138" s="3">
        <v>0</v>
      </c>
      <c r="V138" s="3">
        <v>0</v>
      </c>
      <c r="W138" s="3">
        <v>0</v>
      </c>
      <c r="X138" s="3">
        <v>0</v>
      </c>
      <c r="Y138" s="3">
        <v>129815499.45</v>
      </c>
      <c r="Z138" s="3">
        <f t="shared" si="2"/>
        <v>129815499.45</v>
      </c>
      <c r="AA138" t="s">
        <v>627</v>
      </c>
      <c r="AB138" s="19" t="s">
        <v>632</v>
      </c>
    </row>
    <row r="139" spans="1:28">
      <c r="A139" t="s">
        <v>547</v>
      </c>
      <c r="B139" s="2">
        <v>5</v>
      </c>
      <c r="C139" s="1" t="s">
        <v>26</v>
      </c>
      <c r="D139" t="s">
        <v>27</v>
      </c>
      <c r="E139" s="2" t="s">
        <v>548</v>
      </c>
      <c r="F139" s="2" t="s">
        <v>549</v>
      </c>
      <c r="G139" s="2">
        <v>901658442</v>
      </c>
      <c r="H139" s="2">
        <v>0</v>
      </c>
      <c r="I139" t="s">
        <v>550</v>
      </c>
      <c r="J139" s="2" t="s">
        <v>551</v>
      </c>
      <c r="K139" s="1" t="s">
        <v>552</v>
      </c>
      <c r="L139" t="s">
        <v>553</v>
      </c>
      <c r="M139" s="3">
        <v>12671750</v>
      </c>
      <c r="N139" s="3">
        <v>12671750</v>
      </c>
      <c r="O139" s="1" t="s">
        <v>554</v>
      </c>
      <c r="P139" s="1" t="s">
        <v>46</v>
      </c>
      <c r="Q139" t="s">
        <v>555</v>
      </c>
      <c r="R139" t="s">
        <v>556</v>
      </c>
      <c r="S139" s="4">
        <v>45152</v>
      </c>
      <c r="T139" s="4">
        <v>45185</v>
      </c>
      <c r="U139" s="3">
        <v>5799500</v>
      </c>
      <c r="V139" s="3">
        <v>0</v>
      </c>
      <c r="W139" s="3">
        <v>0</v>
      </c>
      <c r="X139" s="3">
        <v>0</v>
      </c>
      <c r="Y139" s="3">
        <v>0</v>
      </c>
      <c r="Z139" s="3">
        <f t="shared" si="2"/>
        <v>5799500</v>
      </c>
      <c r="AA139" t="s">
        <v>630</v>
      </c>
      <c r="AB139" s="19" t="s">
        <v>632</v>
      </c>
    </row>
    <row r="140" spans="1:28">
      <c r="A140" t="s">
        <v>547</v>
      </c>
      <c r="B140" s="2">
        <v>5</v>
      </c>
      <c r="C140" s="1" t="s">
        <v>26</v>
      </c>
      <c r="D140" t="s">
        <v>27</v>
      </c>
      <c r="E140" s="2" t="s">
        <v>557</v>
      </c>
      <c r="F140" s="2" t="s">
        <v>558</v>
      </c>
      <c r="G140" s="2">
        <v>901658442</v>
      </c>
      <c r="H140" s="2">
        <v>0</v>
      </c>
      <c r="I140" t="s">
        <v>550</v>
      </c>
      <c r="J140" s="2" t="s">
        <v>551</v>
      </c>
      <c r="K140" s="1" t="s">
        <v>552</v>
      </c>
      <c r="L140" t="s">
        <v>553</v>
      </c>
      <c r="M140" s="3" t="s">
        <v>61</v>
      </c>
      <c r="N140" s="3" t="s">
        <v>61</v>
      </c>
      <c r="O140" s="1" t="s">
        <v>46</v>
      </c>
      <c r="P140" s="1" t="s">
        <v>46</v>
      </c>
      <c r="Q140" t="s">
        <v>62</v>
      </c>
      <c r="R140" t="s">
        <v>559</v>
      </c>
      <c r="S140" s="4">
        <v>45565</v>
      </c>
      <c r="T140" s="4">
        <v>45565</v>
      </c>
      <c r="U140" s="3">
        <v>6872250</v>
      </c>
      <c r="V140" s="3">
        <v>0</v>
      </c>
      <c r="W140" s="3">
        <v>0</v>
      </c>
      <c r="X140" s="3">
        <v>0</v>
      </c>
      <c r="Y140" s="3">
        <v>0</v>
      </c>
      <c r="Z140" s="3">
        <f t="shared" si="2"/>
        <v>6872250</v>
      </c>
      <c r="AA140" t="s">
        <v>630</v>
      </c>
      <c r="AB140" s="19" t="s">
        <v>632</v>
      </c>
    </row>
    <row r="141" spans="1:28">
      <c r="A141" t="s">
        <v>560</v>
      </c>
      <c r="B141" s="2">
        <v>1</v>
      </c>
      <c r="C141" s="1" t="s">
        <v>26</v>
      </c>
      <c r="D141" t="s">
        <v>27</v>
      </c>
      <c r="E141" s="2" t="s">
        <v>249</v>
      </c>
      <c r="F141" s="2" t="s">
        <v>250</v>
      </c>
      <c r="G141" s="2">
        <v>444444541</v>
      </c>
      <c r="H141" s="2">
        <v>0</v>
      </c>
      <c r="I141" t="s">
        <v>561</v>
      </c>
      <c r="J141" s="2" t="s">
        <v>31</v>
      </c>
      <c r="K141" s="1" t="s">
        <v>32</v>
      </c>
      <c r="L141" t="s">
        <v>33</v>
      </c>
      <c r="M141" s="3">
        <v>187854000</v>
      </c>
      <c r="N141" s="3">
        <v>0</v>
      </c>
      <c r="O141" s="1" t="s">
        <v>562</v>
      </c>
      <c r="P141" s="1" t="s">
        <v>46</v>
      </c>
      <c r="Q141" t="s">
        <v>563</v>
      </c>
      <c r="R141" t="s">
        <v>564</v>
      </c>
      <c r="S141" s="4">
        <v>45940</v>
      </c>
      <c r="T141" s="4">
        <v>46001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f t="shared" si="2"/>
        <v>0</v>
      </c>
      <c r="AA141" t="s">
        <v>627</v>
      </c>
      <c r="AB141" s="19" t="s">
        <v>632</v>
      </c>
    </row>
    <row r="142" spans="1:28">
      <c r="A142" t="s">
        <v>560</v>
      </c>
      <c r="B142" s="2">
        <v>1</v>
      </c>
      <c r="C142" s="1" t="s">
        <v>26</v>
      </c>
      <c r="D142" t="s">
        <v>27</v>
      </c>
      <c r="E142" s="2" t="s">
        <v>254</v>
      </c>
      <c r="F142" s="2" t="s">
        <v>255</v>
      </c>
      <c r="G142" s="2">
        <v>444444541</v>
      </c>
      <c r="H142" s="2">
        <v>0</v>
      </c>
      <c r="I142" t="s">
        <v>561</v>
      </c>
      <c r="J142" s="2" t="s">
        <v>31</v>
      </c>
      <c r="K142" s="1" t="s">
        <v>32</v>
      </c>
      <c r="L142" t="s">
        <v>33</v>
      </c>
      <c r="M142" s="3" t="s">
        <v>61</v>
      </c>
      <c r="N142" s="3" t="s">
        <v>61</v>
      </c>
      <c r="O142" s="1" t="s">
        <v>46</v>
      </c>
      <c r="P142" s="1" t="s">
        <v>46</v>
      </c>
      <c r="Q142" t="s">
        <v>62</v>
      </c>
      <c r="R142" t="s">
        <v>565</v>
      </c>
      <c r="S142" s="4">
        <v>46002</v>
      </c>
      <c r="T142" s="4">
        <v>46092</v>
      </c>
      <c r="U142" s="3">
        <v>0</v>
      </c>
      <c r="V142" s="3">
        <v>0</v>
      </c>
      <c r="W142" s="3">
        <v>0</v>
      </c>
      <c r="X142" s="3">
        <v>0</v>
      </c>
      <c r="Y142" s="3">
        <v>187854000</v>
      </c>
      <c r="Z142" s="3">
        <f t="shared" si="2"/>
        <v>187854000</v>
      </c>
      <c r="AA142" t="s">
        <v>628</v>
      </c>
      <c r="AB142" s="19" t="s">
        <v>632</v>
      </c>
    </row>
    <row r="143" spans="1:28">
      <c r="A143" t="s">
        <v>566</v>
      </c>
      <c r="B143" s="2">
        <v>6</v>
      </c>
      <c r="C143" s="1" t="s">
        <v>26</v>
      </c>
      <c r="D143" t="s">
        <v>27</v>
      </c>
      <c r="E143" s="2" t="s">
        <v>567</v>
      </c>
      <c r="F143" s="2" t="s">
        <v>568</v>
      </c>
      <c r="G143" s="2">
        <v>900668109</v>
      </c>
      <c r="H143" s="2">
        <v>0</v>
      </c>
      <c r="I143" t="s">
        <v>569</v>
      </c>
      <c r="J143" s="2" t="s">
        <v>53</v>
      </c>
      <c r="K143" s="1" t="s">
        <v>54</v>
      </c>
      <c r="L143" t="s">
        <v>55</v>
      </c>
      <c r="M143" s="3">
        <v>25332000</v>
      </c>
      <c r="N143" s="3">
        <v>25332000</v>
      </c>
      <c r="O143" s="1" t="s">
        <v>570</v>
      </c>
      <c r="P143" s="1" t="s">
        <v>571</v>
      </c>
      <c r="Q143" t="s">
        <v>47</v>
      </c>
      <c r="R143" t="s">
        <v>572</v>
      </c>
      <c r="S143" s="4">
        <v>43727</v>
      </c>
      <c r="T143" s="4">
        <v>44735</v>
      </c>
      <c r="U143" s="3">
        <v>25332000</v>
      </c>
      <c r="V143" s="3">
        <v>0</v>
      </c>
      <c r="W143" s="3">
        <v>0</v>
      </c>
      <c r="X143" s="3">
        <v>0</v>
      </c>
      <c r="Y143" s="3">
        <v>0</v>
      </c>
      <c r="Z143" s="3">
        <f t="shared" si="2"/>
        <v>25332000</v>
      </c>
      <c r="AA143" t="s">
        <v>629</v>
      </c>
      <c r="AB143" s="19" t="s">
        <v>632</v>
      </c>
    </row>
    <row r="144" spans="1:28">
      <c r="A144" t="s">
        <v>573</v>
      </c>
      <c r="B144" s="2">
        <v>9</v>
      </c>
      <c r="C144" s="1" t="s">
        <v>26</v>
      </c>
      <c r="D144" t="s">
        <v>27</v>
      </c>
      <c r="E144" s="2" t="s">
        <v>168</v>
      </c>
      <c r="F144" s="2" t="s">
        <v>169</v>
      </c>
      <c r="G144" s="2">
        <v>900092385</v>
      </c>
      <c r="H144" s="2">
        <v>0</v>
      </c>
      <c r="I144" t="s">
        <v>574</v>
      </c>
      <c r="J144" s="2" t="s">
        <v>575</v>
      </c>
      <c r="K144" s="1" t="s">
        <v>576</v>
      </c>
      <c r="L144" t="s">
        <v>577</v>
      </c>
      <c r="M144" s="3">
        <v>19077972.539999999</v>
      </c>
      <c r="N144" s="3">
        <v>0</v>
      </c>
      <c r="O144" s="1" t="s">
        <v>578</v>
      </c>
      <c r="P144" s="1" t="s">
        <v>579</v>
      </c>
      <c r="Q144" t="s">
        <v>81</v>
      </c>
      <c r="R144" t="s">
        <v>580</v>
      </c>
      <c r="S144" s="4">
        <v>46001</v>
      </c>
      <c r="T144" s="4">
        <v>46063</v>
      </c>
      <c r="U144" s="3">
        <v>0</v>
      </c>
      <c r="V144" s="3">
        <v>0</v>
      </c>
      <c r="W144" s="3">
        <v>0</v>
      </c>
      <c r="X144" s="3">
        <v>0</v>
      </c>
      <c r="Y144" s="3">
        <v>19077972.539999999</v>
      </c>
      <c r="Z144" s="3">
        <f t="shared" si="2"/>
        <v>19077972.539999999</v>
      </c>
      <c r="AA144" t="s">
        <v>628</v>
      </c>
      <c r="AB144" s="19" t="s">
        <v>632</v>
      </c>
    </row>
    <row r="145" spans="1:28">
      <c r="A145" t="s">
        <v>581</v>
      </c>
      <c r="B145" s="2">
        <v>9</v>
      </c>
      <c r="C145" s="1" t="s">
        <v>26</v>
      </c>
      <c r="D145" t="s">
        <v>27</v>
      </c>
      <c r="E145" s="2" t="s">
        <v>582</v>
      </c>
      <c r="F145" s="2" t="s">
        <v>583</v>
      </c>
      <c r="G145" s="2">
        <v>890102572</v>
      </c>
      <c r="H145" s="2">
        <v>0</v>
      </c>
      <c r="I145" t="s">
        <v>584</v>
      </c>
      <c r="J145" s="2" t="s">
        <v>585</v>
      </c>
      <c r="K145" s="1" t="s">
        <v>586</v>
      </c>
      <c r="L145" t="s">
        <v>485</v>
      </c>
      <c r="M145" s="3">
        <v>74358000</v>
      </c>
      <c r="N145" s="3">
        <v>74358000</v>
      </c>
      <c r="O145" s="1" t="s">
        <v>587</v>
      </c>
      <c r="P145" s="1" t="s">
        <v>588</v>
      </c>
      <c r="Q145" t="s">
        <v>387</v>
      </c>
      <c r="R145" t="s">
        <v>589</v>
      </c>
      <c r="S145" s="4">
        <v>43100</v>
      </c>
      <c r="T145" s="4">
        <v>42974</v>
      </c>
      <c r="U145" s="3">
        <v>22307400</v>
      </c>
      <c r="V145" s="3">
        <v>0</v>
      </c>
      <c r="W145" s="3">
        <v>0</v>
      </c>
      <c r="X145" s="3">
        <v>0</v>
      </c>
      <c r="Y145" s="3">
        <v>0</v>
      </c>
      <c r="Z145" s="3">
        <f t="shared" si="2"/>
        <v>22307400</v>
      </c>
      <c r="AA145" t="s">
        <v>629</v>
      </c>
      <c r="AB145" s="19" t="s">
        <v>632</v>
      </c>
    </row>
    <row r="146" spans="1:28">
      <c r="A146" t="s">
        <v>581</v>
      </c>
      <c r="B146" s="2">
        <v>9</v>
      </c>
      <c r="C146" s="1" t="s">
        <v>26</v>
      </c>
      <c r="D146" t="s">
        <v>27</v>
      </c>
      <c r="E146" s="2" t="s">
        <v>582</v>
      </c>
      <c r="F146" s="2" t="s">
        <v>583</v>
      </c>
      <c r="G146" s="2">
        <v>890102572</v>
      </c>
      <c r="H146" s="2">
        <v>0</v>
      </c>
      <c r="I146" t="s">
        <v>584</v>
      </c>
      <c r="J146" s="2" t="s">
        <v>585</v>
      </c>
      <c r="K146" s="1" t="s">
        <v>586</v>
      </c>
      <c r="L146" t="s">
        <v>485</v>
      </c>
      <c r="M146" s="3" t="s">
        <v>61</v>
      </c>
      <c r="N146" s="3" t="s">
        <v>61</v>
      </c>
      <c r="O146" s="1" t="s">
        <v>46</v>
      </c>
      <c r="P146" s="1" t="s">
        <v>46</v>
      </c>
      <c r="Q146" t="s">
        <v>62</v>
      </c>
      <c r="R146" t="s">
        <v>590</v>
      </c>
      <c r="S146" s="4">
        <v>43100</v>
      </c>
      <c r="T146" s="4">
        <v>43110</v>
      </c>
      <c r="U146" s="3">
        <v>52050600</v>
      </c>
      <c r="V146" s="3">
        <v>0</v>
      </c>
      <c r="W146" s="3">
        <v>0</v>
      </c>
      <c r="X146" s="3">
        <v>0</v>
      </c>
      <c r="Y146" s="3">
        <v>0</v>
      </c>
      <c r="Z146" s="3">
        <f t="shared" si="2"/>
        <v>52050600</v>
      </c>
      <c r="AA146" t="s">
        <v>629</v>
      </c>
      <c r="AB146" s="19" t="s">
        <v>632</v>
      </c>
    </row>
    <row r="147" spans="1:28">
      <c r="A147" t="s">
        <v>581</v>
      </c>
      <c r="B147" s="2">
        <v>9</v>
      </c>
      <c r="C147" s="1" t="s">
        <v>26</v>
      </c>
      <c r="D147" t="s">
        <v>27</v>
      </c>
      <c r="E147" s="2" t="s">
        <v>591</v>
      </c>
      <c r="F147" s="2" t="s">
        <v>592</v>
      </c>
      <c r="G147" s="2">
        <v>890102572</v>
      </c>
      <c r="H147" s="2">
        <v>0</v>
      </c>
      <c r="I147" t="s">
        <v>584</v>
      </c>
      <c r="J147" s="2" t="s">
        <v>224</v>
      </c>
      <c r="K147" s="1" t="s">
        <v>225</v>
      </c>
      <c r="L147" t="s">
        <v>189</v>
      </c>
      <c r="M147" s="3">
        <v>22340559.640000001</v>
      </c>
      <c r="N147" s="3">
        <v>22340559.640000001</v>
      </c>
      <c r="O147" s="1" t="s">
        <v>587</v>
      </c>
      <c r="P147" s="1" t="s">
        <v>588</v>
      </c>
      <c r="Q147" t="s">
        <v>387</v>
      </c>
      <c r="R147" t="s">
        <v>593</v>
      </c>
      <c r="S147" s="4">
        <v>43100</v>
      </c>
      <c r="T147" s="4">
        <v>42368</v>
      </c>
      <c r="U147" s="3">
        <v>22340559.640000001</v>
      </c>
      <c r="V147" s="3">
        <v>0</v>
      </c>
      <c r="W147" s="3">
        <v>0</v>
      </c>
      <c r="X147" s="3">
        <v>0</v>
      </c>
      <c r="Y147" s="3">
        <v>0</v>
      </c>
      <c r="Z147" s="3">
        <f t="shared" si="2"/>
        <v>22340559.640000001</v>
      </c>
      <c r="AA147" t="s">
        <v>629</v>
      </c>
      <c r="AB147" s="19" t="s">
        <v>632</v>
      </c>
    </row>
    <row r="148" spans="1:28">
      <c r="A148" t="s">
        <v>594</v>
      </c>
      <c r="B148" s="2">
        <v>0</v>
      </c>
      <c r="C148" s="1" t="s">
        <v>26</v>
      </c>
      <c r="D148" t="s">
        <v>27</v>
      </c>
      <c r="E148" s="2" t="s">
        <v>595</v>
      </c>
      <c r="F148" s="2" t="s">
        <v>596</v>
      </c>
      <c r="G148" s="2">
        <v>4444444444600</v>
      </c>
      <c r="H148" s="2">
        <v>0</v>
      </c>
      <c r="I148" t="s">
        <v>597</v>
      </c>
      <c r="J148" s="2" t="s">
        <v>31</v>
      </c>
      <c r="K148" s="1" t="s">
        <v>32</v>
      </c>
      <c r="L148" t="s">
        <v>33</v>
      </c>
      <c r="M148" s="3">
        <v>692891965.45000005</v>
      </c>
      <c r="N148" s="3">
        <v>692891965.45000005</v>
      </c>
      <c r="O148" s="1" t="s">
        <v>598</v>
      </c>
      <c r="P148" s="1" t="s">
        <v>46</v>
      </c>
      <c r="Q148" t="s">
        <v>599</v>
      </c>
      <c r="R148" t="s">
        <v>600</v>
      </c>
      <c r="S148" s="4">
        <v>45288</v>
      </c>
      <c r="T148" s="4">
        <v>45319</v>
      </c>
      <c r="U148" s="3">
        <v>167039777</v>
      </c>
      <c r="V148" s="3">
        <v>0</v>
      </c>
      <c r="W148" s="3">
        <v>0</v>
      </c>
      <c r="X148" s="3">
        <v>0</v>
      </c>
      <c r="Y148" s="3">
        <v>0</v>
      </c>
      <c r="Z148" s="3">
        <f t="shared" si="2"/>
        <v>167039777</v>
      </c>
      <c r="AA148" t="s">
        <v>627</v>
      </c>
      <c r="AB148" s="19" t="s">
        <v>632</v>
      </c>
    </row>
    <row r="149" spans="1:28">
      <c r="A149" t="s">
        <v>594</v>
      </c>
      <c r="B149" s="2">
        <v>0</v>
      </c>
      <c r="C149" s="1" t="s">
        <v>26</v>
      </c>
      <c r="D149" t="s">
        <v>27</v>
      </c>
      <c r="E149" s="2" t="s">
        <v>595</v>
      </c>
      <c r="F149" s="2" t="s">
        <v>601</v>
      </c>
      <c r="G149" s="2">
        <v>4444444444600</v>
      </c>
      <c r="H149" s="2">
        <v>0</v>
      </c>
      <c r="I149" t="s">
        <v>597</v>
      </c>
      <c r="J149" s="2" t="s">
        <v>31</v>
      </c>
      <c r="K149" s="1" t="s">
        <v>32</v>
      </c>
      <c r="L149" t="s">
        <v>33</v>
      </c>
      <c r="M149" s="3" t="s">
        <v>61</v>
      </c>
      <c r="N149" s="3" t="s">
        <v>61</v>
      </c>
      <c r="O149" s="1" t="s">
        <v>46</v>
      </c>
      <c r="P149" s="1" t="s">
        <v>46</v>
      </c>
      <c r="Q149" t="s">
        <v>62</v>
      </c>
      <c r="R149" t="s">
        <v>602</v>
      </c>
      <c r="S149" s="4">
        <v>45288</v>
      </c>
      <c r="T149" s="4">
        <v>45319</v>
      </c>
      <c r="U149" s="3">
        <v>525852188.44999999</v>
      </c>
      <c r="V149" s="3">
        <v>0</v>
      </c>
      <c r="W149" s="3">
        <v>0</v>
      </c>
      <c r="X149" s="3">
        <v>0</v>
      </c>
      <c r="Y149" s="3">
        <v>0</v>
      </c>
      <c r="Z149" s="3">
        <f t="shared" si="2"/>
        <v>525852188.44999999</v>
      </c>
      <c r="AA149" t="s">
        <v>627</v>
      </c>
      <c r="AB149" s="19" t="s">
        <v>632</v>
      </c>
    </row>
    <row r="150" spans="1:28">
      <c r="A150" t="s">
        <v>603</v>
      </c>
      <c r="B150" s="2">
        <v>2</v>
      </c>
      <c r="C150" s="1" t="s">
        <v>26</v>
      </c>
      <c r="D150" t="s">
        <v>27</v>
      </c>
      <c r="E150" s="2" t="s">
        <v>604</v>
      </c>
      <c r="F150" s="2" t="s">
        <v>605</v>
      </c>
      <c r="G150" s="2">
        <v>900219120</v>
      </c>
      <c r="H150" s="2">
        <v>0</v>
      </c>
      <c r="I150" t="s">
        <v>606</v>
      </c>
      <c r="J150" s="2" t="s">
        <v>103</v>
      </c>
      <c r="K150" s="1" t="s">
        <v>104</v>
      </c>
      <c r="L150" t="s">
        <v>105</v>
      </c>
      <c r="M150" s="3">
        <v>274916</v>
      </c>
      <c r="N150" s="3">
        <v>274916</v>
      </c>
      <c r="O150" s="1" t="s">
        <v>607</v>
      </c>
      <c r="P150" s="1" t="s">
        <v>46</v>
      </c>
      <c r="Q150" t="s">
        <v>387</v>
      </c>
      <c r="R150" t="s">
        <v>608</v>
      </c>
      <c r="S150" s="4">
        <v>46000</v>
      </c>
      <c r="T150" s="4">
        <v>46031</v>
      </c>
      <c r="U150" s="3">
        <v>0</v>
      </c>
      <c r="V150" s="3">
        <v>0</v>
      </c>
      <c r="W150" s="3">
        <v>0</v>
      </c>
      <c r="X150" s="3">
        <v>0</v>
      </c>
      <c r="Y150" s="3">
        <v>274916</v>
      </c>
      <c r="Z150" s="3">
        <f t="shared" si="2"/>
        <v>274916</v>
      </c>
      <c r="AA150" t="s">
        <v>627</v>
      </c>
      <c r="AB150" s="19" t="s">
        <v>632</v>
      </c>
    </row>
    <row r="151" spans="1:28">
      <c r="A151" t="s">
        <v>609</v>
      </c>
      <c r="B151" s="2">
        <v>4</v>
      </c>
      <c r="C151" s="1" t="s">
        <v>26</v>
      </c>
      <c r="D151" t="s">
        <v>27</v>
      </c>
      <c r="E151" s="2" t="s">
        <v>249</v>
      </c>
      <c r="F151" s="2" t="s">
        <v>250</v>
      </c>
      <c r="G151" s="2">
        <v>900541359</v>
      </c>
      <c r="H151" s="2">
        <v>0</v>
      </c>
      <c r="I151" t="s">
        <v>610</v>
      </c>
      <c r="J151" s="2" t="s">
        <v>611</v>
      </c>
      <c r="K151" s="1" t="s">
        <v>612</v>
      </c>
      <c r="L151" t="s">
        <v>330</v>
      </c>
      <c r="M151" s="3">
        <v>17256999.059999999</v>
      </c>
      <c r="N151" s="3">
        <v>0</v>
      </c>
      <c r="O151" s="1" t="s">
        <v>613</v>
      </c>
      <c r="P151" s="1" t="s">
        <v>614</v>
      </c>
      <c r="Q151" t="s">
        <v>47</v>
      </c>
      <c r="R151" t="s">
        <v>615</v>
      </c>
      <c r="S151" s="4">
        <v>46002</v>
      </c>
      <c r="T151" s="4">
        <v>46063</v>
      </c>
      <c r="U151" s="3">
        <v>0</v>
      </c>
      <c r="V151" s="3">
        <v>0</v>
      </c>
      <c r="W151" s="3">
        <v>0</v>
      </c>
      <c r="X151" s="3">
        <v>0</v>
      </c>
      <c r="Y151" s="3">
        <v>17256999.059999999</v>
      </c>
      <c r="Z151" s="3">
        <f t="shared" si="2"/>
        <v>17256999.059999999</v>
      </c>
      <c r="AA151" t="s">
        <v>628</v>
      </c>
      <c r="AB151" s="19" t="s">
        <v>632</v>
      </c>
    </row>
    <row r="152" spans="1:28">
      <c r="A152" t="s">
        <v>616</v>
      </c>
      <c r="B152" s="2">
        <v>8</v>
      </c>
      <c r="C152" s="1" t="s">
        <v>26</v>
      </c>
      <c r="D152" t="s">
        <v>27</v>
      </c>
      <c r="E152" s="2" t="s">
        <v>120</v>
      </c>
      <c r="F152" s="2" t="s">
        <v>121</v>
      </c>
      <c r="G152" s="2">
        <v>830058081</v>
      </c>
      <c r="H152" s="2">
        <v>0</v>
      </c>
      <c r="I152" t="s">
        <v>617</v>
      </c>
      <c r="J152" s="2" t="s">
        <v>77</v>
      </c>
      <c r="K152" s="1" t="s">
        <v>78</v>
      </c>
      <c r="L152" t="s">
        <v>79</v>
      </c>
      <c r="M152" s="3">
        <v>855995.71</v>
      </c>
      <c r="N152" s="3">
        <v>0</v>
      </c>
      <c r="O152" s="1" t="s">
        <v>618</v>
      </c>
      <c r="P152" s="1" t="s">
        <v>619</v>
      </c>
      <c r="Q152" t="s">
        <v>47</v>
      </c>
      <c r="R152" t="s">
        <v>620</v>
      </c>
      <c r="S152" s="4">
        <v>46038</v>
      </c>
      <c r="T152" s="4">
        <v>46069</v>
      </c>
      <c r="U152" s="3">
        <v>0</v>
      </c>
      <c r="V152" s="3">
        <v>0</v>
      </c>
      <c r="W152" s="3">
        <v>0</v>
      </c>
      <c r="X152" s="3">
        <v>0</v>
      </c>
      <c r="Y152" s="3">
        <v>855995.71</v>
      </c>
      <c r="Z152" s="3">
        <f t="shared" si="2"/>
        <v>855995.71</v>
      </c>
      <c r="AA152" t="s">
        <v>628</v>
      </c>
      <c r="AB152" s="19" t="s">
        <v>632</v>
      </c>
    </row>
  </sheetData>
  <autoFilter ref="A7:AA152" xr:uid="{00000000-0001-0000-0000-000000000000}"/>
  <mergeCells count="3">
    <mergeCell ref="A5:Y5"/>
    <mergeCell ref="A2:Y2"/>
    <mergeCell ref="A1:X1"/>
  </mergeCells>
  <hyperlinks>
    <hyperlink ref="AB8" r:id="rId1" xr:uid="{3295342D-45B9-9E4F-A307-30DF2F80C639}"/>
    <hyperlink ref="AB9:AB152" r:id="rId2" display="pepito@hotmail.com" xr:uid="{8FE0AC35-1DEC-AD4F-BE66-232C76CEE00A}"/>
  </hyperlinks>
  <pageMargins left="0.5" right="0.5" top="0.5" bottom="0.5" header="0.5" footer="0.5"/>
  <pageSetup scale="25" orientation="landscape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DATOS160433</vt:lpstr>
      <vt:lpstr>DATOS160433!Print_Area</vt:lpstr>
      <vt:lpstr>DATOS160433!Print_Titles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llopez</dc:creator>
  <cp:lastModifiedBy>Juan Esteban Lemoine Latorre</cp:lastModifiedBy>
  <dcterms:created xsi:type="dcterms:W3CDTF">2026-01-19T21:04:39Z</dcterms:created>
  <dcterms:modified xsi:type="dcterms:W3CDTF">2026-01-29T14:38:49Z</dcterms:modified>
</cp:coreProperties>
</file>